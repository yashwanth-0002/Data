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yashwanth123411\"/>
    </mc:Choice>
  </mc:AlternateContent>
  <xr:revisionPtr revIDLastSave="0" documentId="13_ncr:1_{D2CF7223-F7FC-4076-86EB-67C2701931D6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Sheet1" sheetId="1" r:id="rId1"/>
    <sheet name="Staff" sheetId="4" r:id="rId2"/>
    <sheet name="medals" sheetId="3" r:id="rId3"/>
    <sheet name="power query" sheetId="2" r:id="rId4"/>
    <sheet name="Sumifs and countifs" sheetId="6" r:id="rId5"/>
    <sheet name="Filter" sheetId="8" r:id="rId6"/>
    <sheet name="min,max,large,sort" sheetId="9" r:id="rId7"/>
    <sheet name="list of departments" sheetId="10" r:id="rId8"/>
    <sheet name="dataset" sheetId="7" r:id="rId9"/>
    <sheet name="Lookup sheet" sheetId="11" r:id="rId10"/>
  </sheets>
  <definedNames>
    <definedName name="_xlnm._FilterDatabase" localSheetId="7" hidden="1">'list of departments'!$B$4:$B$16</definedName>
    <definedName name="ExternalData_1" localSheetId="2" hidden="1">medals!$A$1:$G$94</definedName>
    <definedName name="ExternalData_2" localSheetId="1" hidden="1">Staff!$A$1:$N$261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1" l="1"/>
  <c r="C10" i="11"/>
  <c r="C9" i="11"/>
  <c r="C8" i="11"/>
  <c r="C7" i="11"/>
  <c r="C6" i="11"/>
  <c r="D8" i="10"/>
  <c r="E6" i="9"/>
  <c r="D6" i="9"/>
  <c r="E5" i="9"/>
  <c r="D5" i="9"/>
  <c r="C8" i="9"/>
  <c r="C9" i="9"/>
  <c r="C10" i="9"/>
  <c r="C11" i="9"/>
  <c r="C7" i="9"/>
  <c r="C6" i="9"/>
  <c r="C5" i="9"/>
  <c r="C5" i="8"/>
  <c r="D5" i="8"/>
  <c r="E5" i="8"/>
  <c r="F5" i="8"/>
  <c r="G5" i="8"/>
  <c r="H5" i="8"/>
  <c r="I5" i="8"/>
  <c r="J5" i="8"/>
  <c r="K5" i="8"/>
  <c r="L5" i="8"/>
  <c r="M5" i="8"/>
  <c r="N5" i="8"/>
  <c r="B5" i="8"/>
  <c r="J4" i="6"/>
  <c r="F4" i="6"/>
  <c r="F5" i="6"/>
  <c r="F6" i="6"/>
  <c r="F7" i="6"/>
  <c r="F8" i="6"/>
  <c r="F9" i="6"/>
  <c r="F10" i="6"/>
  <c r="F11" i="6"/>
  <c r="F12" i="6"/>
  <c r="F13" i="6"/>
  <c r="F14" i="6"/>
  <c r="F3" i="6"/>
  <c r="E4" i="6"/>
  <c r="E5" i="6"/>
  <c r="E6" i="6"/>
  <c r="E7" i="6"/>
  <c r="E8" i="6"/>
  <c r="E9" i="6"/>
  <c r="E10" i="6"/>
  <c r="E11" i="6"/>
  <c r="E12" i="6"/>
  <c r="E13" i="6"/>
  <c r="E14" i="6"/>
  <c r="E3" i="6"/>
  <c r="D4" i="6"/>
  <c r="D5" i="6"/>
  <c r="D6" i="6"/>
  <c r="D7" i="6"/>
  <c r="D8" i="6"/>
  <c r="D9" i="6"/>
  <c r="D10" i="6"/>
  <c r="D11" i="6"/>
  <c r="D12" i="6"/>
  <c r="D13" i="6"/>
  <c r="D14" i="6"/>
  <c r="D3" i="6"/>
  <c r="C4" i="6"/>
  <c r="C5" i="6"/>
  <c r="C6" i="6"/>
  <c r="C7" i="6"/>
  <c r="C8" i="6"/>
  <c r="C9" i="6"/>
  <c r="C10" i="6"/>
  <c r="C11" i="6"/>
  <c r="C12" i="6"/>
  <c r="C13" i="6"/>
  <c r="C14" i="6"/>
  <c r="C3" i="6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EE4D9E-077C-4FFF-B912-9816652338CC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00D2065E-D438-4681-974C-6A0BF9D34E57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<sst xmlns="http://schemas.openxmlformats.org/spreadsheetml/2006/main" count="2999" uniqueCount="969">
  <si>
    <t>Sl no</t>
  </si>
  <si>
    <t>item</t>
  </si>
  <si>
    <t>quantity</t>
  </si>
  <si>
    <t>Mobile</t>
  </si>
  <si>
    <t>Charger</t>
  </si>
  <si>
    <t>Camera</t>
  </si>
  <si>
    <t>jacket</t>
  </si>
  <si>
    <t>Water bottle</t>
  </si>
  <si>
    <t>Blanket</t>
  </si>
  <si>
    <t>Tent kit</t>
  </si>
  <si>
    <t>Shoes</t>
  </si>
  <si>
    <t>Watch</t>
  </si>
  <si>
    <t>Cap</t>
  </si>
  <si>
    <t>Camp fire</t>
  </si>
  <si>
    <t>Rank</t>
  </si>
  <si>
    <t>NOC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</si>
  <si>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</si>
  <si>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</si>
  <si>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</si>
  <si>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</si>
  <si>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</si>
  <si>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</si>
  <si>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</si>
  <si>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</si>
  <si>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</si>
  <si>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</si>
  <si>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</si>
  <si>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</si>
  <si>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</si>
  <si>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</si>
  <si>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</si>
  <si>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</si>
  <si>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</si>
  <si>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</si>
  <si>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</si>
  <si>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</si>
  <si>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</si>
  <si>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</si>
  <si>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</si>
  <si>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</si>
  <si>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</si>
  <si>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</si>
  <si>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</si>
  <si>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</si>
  <si>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</si>
  <si>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</si>
  <si>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</si>
  <si>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</si>
  <si>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</si>
  <si>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</si>
  <si>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</si>
  <si>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</si>
  <si>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</si>
  <si>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</si>
  <si>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</si>
  <si>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</si>
  <si>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</si>
  <si>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</si>
  <si>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</si>
  <si>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</si>
  <si>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</si>
  <si>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</si>
  <si>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</si>
  <si>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</si>
  <si>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</si>
  <si>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</si>
  <si>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</si>
  <si>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</si>
  <si>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</si>
  <si>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</si>
  <si>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</si>
  <si>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</si>
  <si>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</si>
  <si>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</si>
  <si>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</si>
  <si>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</si>
  <si>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</si>
  <si>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</si>
  <si>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</si>
  <si>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</si>
  <si>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</si>
  <si>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</si>
  <si>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</si>
  <si>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</si>
  <si>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</si>
  <si>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</si>
  <si>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</si>
  <si>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</si>
  <si>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</si>
  <si>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</si>
  <si>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</si>
  <si>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</si>
  <si>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</si>
  <si>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</si>
  <si>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</si>
  <si>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</si>
  <si>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</si>
  <si>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</si>
  <si>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</si>
  <si>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</si>
  <si>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</si>
  <si>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</si>
  <si>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</si>
  <si>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</si>
  <si>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</si>
  <si>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</si>
  <si>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</si>
  <si>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</si>
  <si>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</si>
  <si>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</si>
  <si>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</si>
  <si>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</si>
  <si>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</si>
  <si>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</si>
  <si>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</si>
  <si>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</si>
  <si>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</si>
  <si>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</si>
  <si>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</si>
  <si>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</si>
  <si>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</si>
  <si>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</si>
  <si>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</si>
  <si>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</si>
  <si>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</si>
  <si>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</si>
  <si>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</si>
  <si>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</si>
  <si>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</si>
  <si>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</si>
  <si>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</si>
  <si>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</si>
  <si>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</si>
  <si>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</si>
  <si>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</si>
  <si>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</si>
  <si>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</si>
  <si>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</si>
  <si>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</si>
  <si>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</si>
  <si>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</si>
  <si>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</si>
  <si>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</si>
  <si>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</si>
  <si>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</si>
  <si>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</si>
  <si>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</si>
  <si>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</si>
  <si>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</si>
  <si>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</si>
  <si>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</si>
  <si>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</si>
  <si>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</si>
  <si>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</si>
  <si>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</si>
  <si>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</si>
  <si>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</si>
  <si>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</si>
  <si>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</si>
  <si>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</si>
  <si>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</si>
  <si>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</si>
  <si>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</si>
  <si>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</si>
  <si>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</si>
  <si>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</si>
  <si>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</si>
  <si>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</si>
  <si>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</si>
  <si>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</si>
  <si>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</si>
  <si>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</si>
  <si>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</si>
  <si>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</si>
  <si>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</si>
  <si>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</si>
  <si>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</si>
  <si>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</si>
  <si>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</si>
  <si>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</si>
  <si>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</si>
  <si>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</si>
  <si>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</si>
  <si>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</si>
  <si>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</si>
  <si>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</si>
  <si>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</si>
  <si>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</si>
  <si>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</si>
  <si>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</si>
  <si>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</si>
  <si>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</si>
  <si>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</si>
  <si>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Employes work type</t>
  </si>
  <si>
    <t>PR00147</t>
  </si>
  <si>
    <t>Ricardot</t>
  </si>
  <si>
    <t>Male</t>
  </si>
  <si>
    <t>Engineering</t>
  </si>
  <si>
    <t>aove 100k</t>
  </si>
  <si>
    <t>Permanent</t>
  </si>
  <si>
    <t>Remote</t>
  </si>
  <si>
    <t>Full time</t>
  </si>
  <si>
    <t>PR04686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</si>
  <si>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</si>
  <si>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</si>
  <si>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</si>
  <si>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</si>
  <si>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</si>
  <si>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</si>
  <si>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</si>
  <si>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Spraberry</t>
  </si>
  <si>
    <t>Services</t>
  </si>
  <si>
    <t>VT01803</t>
  </si>
  <si>
    <t>Linford</t>
  </si>
  <si>
    <t>Training</t>
  </si>
  <si>
    <t>Fixed Term</t>
  </si>
  <si>
    <t>TN02749</t>
  </si>
  <si>
    <t>Jamakayala</t>
  </si>
  <si>
    <t>Hyderabad, India</t>
  </si>
  <si>
    <t>SQ00144</t>
  </si>
  <si>
    <t>Dunbleton</t>
  </si>
  <si>
    <t>Wellington, New Zealand</t>
  </si>
  <si>
    <t>PR04601</t>
  </si>
  <si>
    <t>Panditula</t>
  </si>
  <si>
    <t>Need to check</t>
  </si>
  <si>
    <t>Support</t>
  </si>
  <si>
    <t>SQ01854</t>
  </si>
  <si>
    <t>Callcott</t>
  </si>
  <si>
    <t>Marketing</t>
  </si>
  <si>
    <t>SQ00612</t>
  </si>
  <si>
    <t>Bruckshaw</t>
  </si>
  <si>
    <t>PR00419</t>
  </si>
  <si>
    <t>Fellgate</t>
  </si>
  <si>
    <t>VT00578</t>
  </si>
  <si>
    <t>Locksley</t>
  </si>
  <si>
    <t>under 50k</t>
  </si>
  <si>
    <t>TN01281</t>
  </si>
  <si>
    <t>McGarahan</t>
  </si>
  <si>
    <t>PR04473</t>
  </si>
  <si>
    <t>Treadger</t>
  </si>
  <si>
    <t>Columbus, USA</t>
  </si>
  <si>
    <t>VT02417</t>
  </si>
  <si>
    <t>Lergan</t>
  </si>
  <si>
    <t>Temporary</t>
  </si>
  <si>
    <t>Auckland, New Zealand</t>
  </si>
  <si>
    <t>SQ00691</t>
  </si>
  <si>
    <t>Timmis</t>
  </si>
  <si>
    <t>TN00214</t>
  </si>
  <si>
    <t>Veluvalapalli</t>
  </si>
  <si>
    <t>Chennai, India</t>
  </si>
  <si>
    <t>VT02539</t>
  </si>
  <si>
    <t>Tuny</t>
  </si>
  <si>
    <t>SQ04598</t>
  </si>
  <si>
    <t>Beteriss</t>
  </si>
  <si>
    <t>TN00464</t>
  </si>
  <si>
    <t>Venkata</t>
  </si>
  <si>
    <t>PR00893</t>
  </si>
  <si>
    <t>Veeravasarapu</t>
  </si>
  <si>
    <t>Human Resources</t>
  </si>
  <si>
    <t>PR00882</t>
  </si>
  <si>
    <t>Shipsey</t>
  </si>
  <si>
    <t>Accounting</t>
  </si>
  <si>
    <t>PR03445</t>
  </si>
  <si>
    <t>Prandoni</t>
  </si>
  <si>
    <t>Sales</t>
  </si>
  <si>
    <t>TN03416</t>
  </si>
  <si>
    <t>Kubera</t>
  </si>
  <si>
    <t>TN00890</t>
  </si>
  <si>
    <t>Kousika</t>
  </si>
  <si>
    <t>VT04137</t>
  </si>
  <si>
    <t>Infante</t>
  </si>
  <si>
    <t>PR02603</t>
  </si>
  <si>
    <t>Simhambhatla</t>
  </si>
  <si>
    <t>PR03158</t>
  </si>
  <si>
    <t>Nayshe</t>
  </si>
  <si>
    <t>PR02288</t>
  </si>
  <si>
    <t>Bronger</t>
  </si>
  <si>
    <t>Product Management</t>
  </si>
  <si>
    <t>VT03849</t>
  </si>
  <si>
    <t>Cavaney</t>
  </si>
  <si>
    <t>SQ01395</t>
  </si>
  <si>
    <t>Crosswaite</t>
  </si>
  <si>
    <t>Legal</t>
  </si>
  <si>
    <t>SQ02559</t>
  </si>
  <si>
    <t>Glenny</t>
  </si>
  <si>
    <t>VT04627</t>
  </si>
  <si>
    <t>Bett</t>
  </si>
  <si>
    <t>VT03537</t>
  </si>
  <si>
    <t>Thomassin</t>
  </si>
  <si>
    <t>PR01662</t>
  </si>
  <si>
    <t>Friday</t>
  </si>
  <si>
    <t>VT02313</t>
  </si>
  <si>
    <t>Lynnett</t>
  </si>
  <si>
    <t>SQ01620</t>
  </si>
  <si>
    <t>Brandino</t>
  </si>
  <si>
    <t>VT04681</t>
  </si>
  <si>
    <t>Artin</t>
  </si>
  <si>
    <t>TN04246</t>
  </si>
  <si>
    <t>Ransbury</t>
  </si>
  <si>
    <t>TN02570</t>
  </si>
  <si>
    <t>Rochelle</t>
  </si>
  <si>
    <t>VT02801</t>
  </si>
  <si>
    <t>Mahady</t>
  </si>
  <si>
    <t>SQ01177</t>
  </si>
  <si>
    <t>Basha</t>
  </si>
  <si>
    <t>VT01740</t>
  </si>
  <si>
    <t>Myott</t>
  </si>
  <si>
    <t>TN01876</t>
  </si>
  <si>
    <t>McCritchie</t>
  </si>
  <si>
    <t>VT03988</t>
  </si>
  <si>
    <t>Kodi</t>
  </si>
  <si>
    <t>TN00227</t>
  </si>
  <si>
    <t>Yettugunna</t>
  </si>
  <si>
    <t>VT01092</t>
  </si>
  <si>
    <t>Astall</t>
  </si>
  <si>
    <t>TN03169</t>
  </si>
  <si>
    <t>Clubley</t>
  </si>
  <si>
    <t>SQ01402</t>
  </si>
  <si>
    <t>Jonnalagadda</t>
  </si>
  <si>
    <t>SQ00360</t>
  </si>
  <si>
    <t>Gorstidge</t>
  </si>
  <si>
    <t>PR02208</t>
  </si>
  <si>
    <t>Sankar</t>
  </si>
  <si>
    <t>SQ01637</t>
  </si>
  <si>
    <t>McVitty</t>
  </si>
  <si>
    <t>TN03210</t>
  </si>
  <si>
    <t>Katte</t>
  </si>
  <si>
    <t>PR03844</t>
  </si>
  <si>
    <t>MacCorkell</t>
  </si>
  <si>
    <t>VT04093</t>
  </si>
  <si>
    <t>Lakshmi</t>
  </si>
  <si>
    <t>SQ02246</t>
  </si>
  <si>
    <t>Cormack</t>
  </si>
  <si>
    <t>TN03032</t>
  </si>
  <si>
    <t>Potanapudi</t>
  </si>
  <si>
    <t>SQ00914</t>
  </si>
  <si>
    <t>Appala</t>
  </si>
  <si>
    <t>SQ02525</t>
  </si>
  <si>
    <t>Dagwell</t>
  </si>
  <si>
    <t>PR02782</t>
  </si>
  <si>
    <t>Rawne</t>
  </si>
  <si>
    <t>TN03331</t>
  </si>
  <si>
    <t>Scad</t>
  </si>
  <si>
    <t>VT01249</t>
  </si>
  <si>
    <t>Edgeller</t>
  </si>
  <si>
    <t>PR00576</t>
  </si>
  <si>
    <t>Vadali</t>
  </si>
  <si>
    <t>VT02260</t>
  </si>
  <si>
    <t>Mollison</t>
  </si>
  <si>
    <t>TN02883</t>
  </si>
  <si>
    <t>Joseph</t>
  </si>
  <si>
    <t>SQ03024</t>
  </si>
  <si>
    <t>Creer</t>
  </si>
  <si>
    <t>TN04428</t>
  </si>
  <si>
    <t>Audritt</t>
  </si>
  <si>
    <t>SQ03350</t>
  </si>
  <si>
    <t>McMurty</t>
  </si>
  <si>
    <t>VT03421</t>
  </si>
  <si>
    <t>Bagg</t>
  </si>
  <si>
    <t>PR01346</t>
  </si>
  <si>
    <t>McNalley</t>
  </si>
  <si>
    <t>VT02118</t>
  </si>
  <si>
    <t>Nandanavanam</t>
  </si>
  <si>
    <t>TN02496</t>
  </si>
  <si>
    <t>Delhi</t>
  </si>
  <si>
    <t>VT02491</t>
  </si>
  <si>
    <t>Gotfrey</t>
  </si>
  <si>
    <t>PR03980</t>
  </si>
  <si>
    <t>Bletsoe</t>
  </si>
  <si>
    <t>VT03307</t>
  </si>
  <si>
    <t>Chaikovski</t>
  </si>
  <si>
    <t>TN04058</t>
  </si>
  <si>
    <t>Malladi</t>
  </si>
  <si>
    <t>VT03993</t>
  </si>
  <si>
    <t>Colbeck</t>
  </si>
  <si>
    <t>VT02663</t>
  </si>
  <si>
    <t>Chalaki</t>
  </si>
  <si>
    <t>PR03034</t>
  </si>
  <si>
    <t>Naik</t>
  </si>
  <si>
    <t>PR01159</t>
  </si>
  <si>
    <t>Hanway</t>
  </si>
  <si>
    <t>SQ03476</t>
  </si>
  <si>
    <t>Kothapeta</t>
  </si>
  <si>
    <t>PR04380</t>
  </si>
  <si>
    <t>Tuxwell</t>
  </si>
  <si>
    <t>TN00182</t>
  </si>
  <si>
    <t>Castle</t>
  </si>
  <si>
    <t>VT01523</t>
  </si>
  <si>
    <t>Heistermann</t>
  </si>
  <si>
    <t>PR00916</t>
  </si>
  <si>
    <t>Chapelhow</t>
  </si>
  <si>
    <t>PR01211</t>
  </si>
  <si>
    <t>Dowrey</t>
  </si>
  <si>
    <t>VT01684</t>
  </si>
  <si>
    <t>Yu</t>
  </si>
  <si>
    <t>TN04740</t>
  </si>
  <si>
    <t>Cuming</t>
  </si>
  <si>
    <t>TN03575</t>
  </si>
  <si>
    <t>Wolverson</t>
  </si>
  <si>
    <t>VT04984</t>
  </si>
  <si>
    <t>Molloy</t>
  </si>
  <si>
    <t>PR00095</t>
  </si>
  <si>
    <t>Damarsingh</t>
  </si>
  <si>
    <t>SQ03546</t>
  </si>
  <si>
    <t>Rajabhushan</t>
  </si>
  <si>
    <t>VT02374</t>
  </si>
  <si>
    <t>Jewis</t>
  </si>
  <si>
    <t>SQ00450</t>
  </si>
  <si>
    <t>Lamming</t>
  </si>
  <si>
    <t>PR03804</t>
  </si>
  <si>
    <t>Rema</t>
  </si>
  <si>
    <t>SQ04488</t>
  </si>
  <si>
    <t>Ravuri</t>
  </si>
  <si>
    <t>TN00735</t>
  </si>
  <si>
    <t>Christer</t>
  </si>
  <si>
    <t>VT01893</t>
  </si>
  <si>
    <t>Guillet</t>
  </si>
  <si>
    <t>SQ02223</t>
  </si>
  <si>
    <t>Shepperd</t>
  </si>
  <si>
    <t>PR02010</t>
  </si>
  <si>
    <t>Nishita</t>
  </si>
  <si>
    <t>SQ00498</t>
  </si>
  <si>
    <t>Ofer</t>
  </si>
  <si>
    <t>PR02113</t>
  </si>
  <si>
    <t>Moffet</t>
  </si>
  <si>
    <t>TN00727</t>
  </si>
  <si>
    <t>Folkes</t>
  </si>
  <si>
    <t>SQ01697</t>
  </si>
  <si>
    <t>Vinutha</t>
  </si>
  <si>
    <t>SQ01519</t>
  </si>
  <si>
    <t>Kolakovic</t>
  </si>
  <si>
    <t>VT03500</t>
  </si>
  <si>
    <t>Sapna</t>
  </si>
  <si>
    <t>TN01210</t>
  </si>
  <si>
    <t>Riquet</t>
  </si>
  <si>
    <t>SQ03321</t>
  </si>
  <si>
    <t>Litton</t>
  </si>
  <si>
    <t>Nandin</t>
  </si>
  <si>
    <t>SQ00841</t>
  </si>
  <si>
    <t>Pals</t>
  </si>
  <si>
    <t>SQ04603</t>
  </si>
  <si>
    <t>Craiker</t>
  </si>
  <si>
    <t>TN01028</t>
  </si>
  <si>
    <t>Pudsall</t>
  </si>
  <si>
    <t>VT04028</t>
  </si>
  <si>
    <t>Rolf</t>
  </si>
  <si>
    <t>TN03068</t>
  </si>
  <si>
    <t>Veera</t>
  </si>
  <si>
    <t>VT03701</t>
  </si>
  <si>
    <t>Motiwala</t>
  </si>
  <si>
    <t>TN04101</t>
  </si>
  <si>
    <t>Wahncke</t>
  </si>
  <si>
    <t>TN01632</t>
  </si>
  <si>
    <t>Hundy</t>
  </si>
  <si>
    <t>PR01956</t>
  </si>
  <si>
    <t>O'Ferris</t>
  </si>
  <si>
    <t>PR02140</t>
  </si>
  <si>
    <t>Chandiramani</t>
  </si>
  <si>
    <t>SQ03626</t>
  </si>
  <si>
    <t>Vellanki</t>
  </si>
  <si>
    <t>VT01610</t>
  </si>
  <si>
    <t>Manjunath</t>
  </si>
  <si>
    <t>TN01340</t>
  </si>
  <si>
    <t>Spencelayh</t>
  </si>
  <si>
    <t>TN00698</t>
  </si>
  <si>
    <t>Kenchington</t>
  </si>
  <si>
    <t>SQ00960</t>
  </si>
  <si>
    <t>O'Carroll</t>
  </si>
  <si>
    <t>SQ01998</t>
  </si>
  <si>
    <t>Shriharsha</t>
  </si>
  <si>
    <t>PR04446</t>
  </si>
  <si>
    <t>Shashank</t>
  </si>
  <si>
    <t>SQ01283</t>
  </si>
  <si>
    <t>Faughny</t>
  </si>
  <si>
    <t>SQ01026</t>
  </si>
  <si>
    <t>Shyamari</t>
  </si>
  <si>
    <t>TN01912</t>
  </si>
  <si>
    <t>Dudeney</t>
  </si>
  <si>
    <t>VT02319</t>
  </si>
  <si>
    <t>Vishaal</t>
  </si>
  <si>
    <t>SQ04960</t>
  </si>
  <si>
    <t>Potla</t>
  </si>
  <si>
    <t>SQ01829</t>
  </si>
  <si>
    <t>Orrow</t>
  </si>
  <si>
    <t>SQ00022</t>
  </si>
  <si>
    <t>Demke</t>
  </si>
  <si>
    <t>Muthiah</t>
  </si>
  <si>
    <t>TN02798</t>
  </si>
  <si>
    <t>Gaekwad</t>
  </si>
  <si>
    <t>VT02532</t>
  </si>
  <si>
    <t>Ryal</t>
  </si>
  <si>
    <t>PR02321</t>
  </si>
  <si>
    <t>Sheryn</t>
  </si>
  <si>
    <t>SQ03116</t>
  </si>
  <si>
    <t>Fearn</t>
  </si>
  <si>
    <t>SQ02638</t>
  </si>
  <si>
    <t>Havers</t>
  </si>
  <si>
    <t>VT03704</t>
  </si>
  <si>
    <t>Minto</t>
  </si>
  <si>
    <t>VT04552</t>
  </si>
  <si>
    <t>Chasmer</t>
  </si>
  <si>
    <t>SQ04665</t>
  </si>
  <si>
    <t>Jagson</t>
  </si>
  <si>
    <t>VT00336</t>
  </si>
  <si>
    <t>Muppala</t>
  </si>
  <si>
    <t>TN01256</t>
  </si>
  <si>
    <t>Utpat</t>
  </si>
  <si>
    <t>PR03271</t>
  </si>
  <si>
    <t>Tolliday</t>
  </si>
  <si>
    <t>VT01101</t>
  </si>
  <si>
    <t>Dowsett</t>
  </si>
  <si>
    <t>TN04660</t>
  </si>
  <si>
    <t>Bothwell</t>
  </si>
  <si>
    <t>VT00596</t>
  </si>
  <si>
    <t>Carrett</t>
  </si>
  <si>
    <t>VT03552</t>
  </si>
  <si>
    <t>Mukundan</t>
  </si>
  <si>
    <t>TN00083</t>
  </si>
  <si>
    <t>Sannidhi</t>
  </si>
  <si>
    <t>SQ02643</t>
  </si>
  <si>
    <t>Varada</t>
  </si>
  <si>
    <t>Pashupathy</t>
  </si>
  <si>
    <t>TN02674</t>
  </si>
  <si>
    <t>Coggeshall</t>
  </si>
  <si>
    <t>TN02727</t>
  </si>
  <si>
    <t>Bountiff</t>
  </si>
  <si>
    <t>VT01323</t>
  </si>
  <si>
    <t>Ramaswami</t>
  </si>
  <si>
    <t>PR03886</t>
  </si>
  <si>
    <t>MacKnockiter</t>
  </si>
  <si>
    <t>PR00746</t>
  </si>
  <si>
    <t>Iles</t>
  </si>
  <si>
    <t>SQ03387</t>
  </si>
  <si>
    <t>Scholling</t>
  </si>
  <si>
    <t>SQ00105</t>
  </si>
  <si>
    <t>Ragunathan</t>
  </si>
  <si>
    <t>SQ02424</t>
  </si>
  <si>
    <t>Solanki</t>
  </si>
  <si>
    <t>VT01703</t>
  </si>
  <si>
    <t>Swati</t>
  </si>
  <si>
    <t>SQ02703</t>
  </si>
  <si>
    <t>Ranjana</t>
  </si>
  <si>
    <t>VT04373</t>
  </si>
  <si>
    <t>Hofton</t>
  </si>
  <si>
    <t>SQ03733</t>
  </si>
  <si>
    <t>Antonacci</t>
  </si>
  <si>
    <t>VT04467</t>
  </si>
  <si>
    <t>Nimesh</t>
  </si>
  <si>
    <t>Prashanta</t>
  </si>
  <si>
    <t>PR02016</t>
  </si>
  <si>
    <t>Wagg</t>
  </si>
  <si>
    <t>VT04415</t>
  </si>
  <si>
    <t>Biles</t>
  </si>
  <si>
    <t>TN04067</t>
  </si>
  <si>
    <t>Chaplin</t>
  </si>
  <si>
    <t>TN04175</t>
  </si>
  <si>
    <t>Label</t>
  </si>
  <si>
    <t>VT00687</t>
  </si>
  <si>
    <t>Veena</t>
  </si>
  <si>
    <t>PR01269</t>
  </si>
  <si>
    <t>Airdrie</t>
  </si>
  <si>
    <t>TN00579</t>
  </si>
  <si>
    <t>Blaksland</t>
  </si>
  <si>
    <t>TN03097</t>
  </si>
  <si>
    <t>Bloan</t>
  </si>
  <si>
    <t>SQ02174</t>
  </si>
  <si>
    <t>Yitzhok</t>
  </si>
  <si>
    <t>PR02957</t>
  </si>
  <si>
    <t>Carvill</t>
  </si>
  <si>
    <t>TN01601</t>
  </si>
  <si>
    <t>Jickells</t>
  </si>
  <si>
    <t>SQ01730</t>
  </si>
  <si>
    <t>Littlewood</t>
  </si>
  <si>
    <t>TN03355</t>
  </si>
  <si>
    <t>Cracie</t>
  </si>
  <si>
    <t>VT01246</t>
  </si>
  <si>
    <t>Polon</t>
  </si>
  <si>
    <t>PR02275</t>
  </si>
  <si>
    <t>TN04166</t>
  </si>
  <si>
    <t>Dowdle</t>
  </si>
  <si>
    <t>SQ00070</t>
  </si>
  <si>
    <t>Ingledow</t>
  </si>
  <si>
    <t>TN01701</t>
  </si>
  <si>
    <t>Pawlik</t>
  </si>
  <si>
    <t>VT03298</t>
  </si>
  <si>
    <t>Bissell</t>
  </si>
  <si>
    <t>TN04892</t>
  </si>
  <si>
    <t>Wolstenholme</t>
  </si>
  <si>
    <t>PR01055</t>
  </si>
  <si>
    <t>Fullara</t>
  </si>
  <si>
    <t>SQ04437</t>
  </si>
  <si>
    <t>Summerell</t>
  </si>
  <si>
    <t>PR00770</t>
  </si>
  <si>
    <t>Burnsyde</t>
  </si>
  <si>
    <t>VT01762</t>
  </si>
  <si>
    <t>Raghavanpillai</t>
  </si>
  <si>
    <t>VT04273</t>
  </si>
  <si>
    <t>Gumb</t>
  </si>
  <si>
    <t>SQ00187</t>
  </si>
  <si>
    <t>Mehra</t>
  </si>
  <si>
    <t>PR00113</t>
  </si>
  <si>
    <t>PR01383</t>
  </si>
  <si>
    <t>Studdeard</t>
  </si>
  <si>
    <t>TN00258</t>
  </si>
  <si>
    <t>Leyband</t>
  </si>
  <si>
    <t>VT00476</t>
  </si>
  <si>
    <t>Hartin</t>
  </si>
  <si>
    <t>Chandan</t>
  </si>
  <si>
    <t>Ogale</t>
  </si>
  <si>
    <t>TN01566</t>
  </si>
  <si>
    <t>O'Shea</t>
  </si>
  <si>
    <t>PR04851</t>
  </si>
  <si>
    <t>Drinan</t>
  </si>
  <si>
    <t>PR00007</t>
  </si>
  <si>
    <t>Collier</t>
  </si>
  <si>
    <t>SQ03491</t>
  </si>
  <si>
    <t>Legan</t>
  </si>
  <si>
    <t>SQ02465</t>
  </si>
  <si>
    <t>Gorges</t>
  </si>
  <si>
    <t>VT00194</t>
  </si>
  <si>
    <t>Courtonne</t>
  </si>
  <si>
    <t>TN00328</t>
  </si>
  <si>
    <t>Petracco</t>
  </si>
  <si>
    <t>PR03137</t>
  </si>
  <si>
    <t>Viraj</t>
  </si>
  <si>
    <t>PR00246</t>
  </si>
  <si>
    <t>Augar</t>
  </si>
  <si>
    <t>SQ02371</t>
  </si>
  <si>
    <t>Welman</t>
  </si>
  <si>
    <t>VT04350</t>
  </si>
  <si>
    <t>Moorthy</t>
  </si>
  <si>
    <t>SQ02035</t>
  </si>
  <si>
    <t>Izzard</t>
  </si>
  <si>
    <t>SQ00286</t>
  </si>
  <si>
    <t>Dasgupta</t>
  </si>
  <si>
    <t>TN02205</t>
  </si>
  <si>
    <t>Gazala</t>
  </si>
  <si>
    <t>VT00740</t>
  </si>
  <si>
    <t>Laul</t>
  </si>
  <si>
    <t>PR01476</t>
  </si>
  <si>
    <t>Atasi</t>
  </si>
  <si>
    <t>SQ03112</t>
  </si>
  <si>
    <t>Pritish</t>
  </si>
  <si>
    <t>PR01943</t>
  </si>
  <si>
    <t>Chikodi</t>
  </si>
  <si>
    <t>Kothari</t>
  </si>
  <si>
    <t>VT01996</t>
  </si>
  <si>
    <t>Behnecke</t>
  </si>
  <si>
    <t>Sanabhi</t>
  </si>
  <si>
    <t>SQ02624</t>
  </si>
  <si>
    <t>Fealey</t>
  </si>
  <si>
    <t>SQ02565</t>
  </si>
  <si>
    <t>Timblett</t>
  </si>
  <si>
    <t>SQ02582</t>
  </si>
  <si>
    <t>Harathi</t>
  </si>
  <si>
    <t>TN02397</t>
  </si>
  <si>
    <t>Gentsch</t>
  </si>
  <si>
    <t>TN04265</t>
  </si>
  <si>
    <t>Kripa</t>
  </si>
  <si>
    <t>TN02204</t>
  </si>
  <si>
    <t>PR01306</t>
  </si>
  <si>
    <t>Dradey</t>
  </si>
  <si>
    <t>VT03771</t>
  </si>
  <si>
    <t>Bamford</t>
  </si>
  <si>
    <t>SQ04613</t>
  </si>
  <si>
    <t>Naueshwara</t>
  </si>
  <si>
    <t>PR02436</t>
  </si>
  <si>
    <t>Worssam</t>
  </si>
  <si>
    <t>VT00534</t>
  </si>
  <si>
    <t>Wandrach</t>
  </si>
  <si>
    <t>Probal</t>
  </si>
  <si>
    <t>TN01396</t>
  </si>
  <si>
    <t>Gerriet</t>
  </si>
  <si>
    <t>TN02377</t>
  </si>
  <si>
    <t>Spancock</t>
  </si>
  <si>
    <t>PR03532</t>
  </si>
  <si>
    <t>TN02988</t>
  </si>
  <si>
    <t>Sreedharan</t>
  </si>
  <si>
    <t>VT04905</t>
  </si>
  <si>
    <t>Bhanupriya</t>
  </si>
  <si>
    <t>PR04366</t>
  </si>
  <si>
    <t>Loblie</t>
  </si>
  <si>
    <t>Sushanti</t>
  </si>
  <si>
    <t>TN04775</t>
  </si>
  <si>
    <t>Tendulkar</t>
  </si>
  <si>
    <t>SQ03625</t>
  </si>
  <si>
    <t>Artis</t>
  </si>
  <si>
    <t>Years</t>
  </si>
  <si>
    <t>MINERVA</t>
  </si>
  <si>
    <t>OONA</t>
  </si>
  <si>
    <t>MICK</t>
  </si>
  <si>
    <t>FREDDY</t>
  </si>
  <si>
    <t>PARASURAMUDU</t>
  </si>
  <si>
    <t>COLLEN</t>
  </si>
  <si>
    <t>YEDUKONDALU</t>
  </si>
  <si>
    <t>JESSICA</t>
  </si>
  <si>
    <t>LEENA</t>
  </si>
  <si>
    <t>Research And Development</t>
  </si>
  <si>
    <t>BILLI</t>
  </si>
  <si>
    <t>MAGNUM</t>
  </si>
  <si>
    <t>CLETUS</t>
  </si>
  <si>
    <t>WYN</t>
  </si>
  <si>
    <t>EVANGELINA</t>
  </si>
  <si>
    <t>VERLA</t>
  </si>
  <si>
    <t>DEVSENA</t>
  </si>
  <si>
    <t>DEVINNE</t>
  </si>
  <si>
    <t>PEARLA</t>
  </si>
  <si>
    <t>GOPAL</t>
  </si>
  <si>
    <t>VASAVI</t>
  </si>
  <si>
    <t>JILL</t>
  </si>
  <si>
    <t>MYRLE</t>
  </si>
  <si>
    <t>SEWARD</t>
  </si>
  <si>
    <t>MAYUR</t>
  </si>
  <si>
    <t>MARISSA</t>
  </si>
  <si>
    <t>DINANATH</t>
  </si>
  <si>
    <t>DANICA</t>
  </si>
  <si>
    <t>ALTHEA</t>
  </si>
  <si>
    <t>LEONIDAS</t>
  </si>
  <si>
    <t>DENNISON</t>
  </si>
  <si>
    <t>ALDRICH</t>
  </si>
  <si>
    <t>YVETTE</t>
  </si>
  <si>
    <t>RENALDO</t>
  </si>
  <si>
    <t>GENEVRA</t>
  </si>
  <si>
    <t>THEKLA</t>
  </si>
  <si>
    <t>WESTBROOK</t>
  </si>
  <si>
    <t>NICKOLAI</t>
  </si>
  <si>
    <t>SHAYLYN</t>
  </si>
  <si>
    <t>GRADY</t>
  </si>
  <si>
    <t>SHELLYSHELDON</t>
  </si>
  <si>
    <t>NAZEER</t>
  </si>
  <si>
    <t>GINGER</t>
  </si>
  <si>
    <t>AILEEN</t>
  </si>
  <si>
    <t>VENKAT</t>
  </si>
  <si>
    <t>RAGHUVEER</t>
  </si>
  <si>
    <t>TABBY</t>
  </si>
  <si>
    <t>DOE</t>
  </si>
  <si>
    <t>SAHAJ</t>
  </si>
  <si>
    <t>ORLANDO</t>
  </si>
  <si>
    <t>GOWRI</t>
  </si>
  <si>
    <t>JOAQUIN</t>
  </si>
  <si>
    <t>SUMAN</t>
  </si>
  <si>
    <t>BROSE</t>
  </si>
  <si>
    <t>PRASANNA</t>
  </si>
  <si>
    <t>MATIAS</t>
  </si>
  <si>
    <t>JAIPAL</t>
  </si>
  <si>
    <t>DURAN</t>
  </si>
  <si>
    <t>MICKIE</t>
  </si>
  <si>
    <t>ISAAK</t>
  </si>
  <si>
    <t>CRAWFORD</t>
  </si>
  <si>
    <t>BRENDAN</t>
  </si>
  <si>
    <t>LALITCHANDRA</t>
  </si>
  <si>
    <t>RHIAMON</t>
  </si>
  <si>
    <t>JOHN</t>
  </si>
  <si>
    <t>INGE</t>
  </si>
  <si>
    <t>TADIO</t>
  </si>
  <si>
    <t>FELICE</t>
  </si>
  <si>
    <t>ALIC</t>
  </si>
  <si>
    <t>ADOLPH</t>
  </si>
  <si>
    <t>OORJIT</t>
  </si>
  <si>
    <t>PONNAN</t>
  </si>
  <si>
    <t>ALEXIS</t>
  </si>
  <si>
    <t>KATH</t>
  </si>
  <si>
    <t>TALLIE</t>
  </si>
  <si>
    <t>SUBBARAO</t>
  </si>
  <si>
    <t>DULCE</t>
  </si>
  <si>
    <t>SRAVANTHI</t>
  </si>
  <si>
    <t>SREENIVASA</t>
  </si>
  <si>
    <t>MOLLIE</t>
  </si>
  <si>
    <t>RAMALINGAM</t>
  </si>
  <si>
    <t>VAN</t>
  </si>
  <si>
    <t>CAMILLA</t>
  </si>
  <si>
    <t>CHARMANE</t>
  </si>
  <si>
    <t>INGER</t>
  </si>
  <si>
    <t>ENOCH</t>
  </si>
  <si>
    <t>AUDRY</t>
  </si>
  <si>
    <t>TRISTAM</t>
  </si>
  <si>
    <t>JANINA</t>
  </si>
  <si>
    <t>DELL</t>
  </si>
  <si>
    <t>DEVRAT</t>
  </si>
  <si>
    <t>AMLANKUSUM</t>
  </si>
  <si>
    <t>DELPHINE</t>
  </si>
  <si>
    <t>LOUISE</t>
  </si>
  <si>
    <t>PRATIGYA</t>
  </si>
  <si>
    <t>RAMNATH</t>
  </si>
  <si>
    <t>CARESA</t>
  </si>
  <si>
    <t>LINDY</t>
  </si>
  <si>
    <t>PIPPY</t>
  </si>
  <si>
    <t>PRERANA</t>
  </si>
  <si>
    <t>AMERY</t>
  </si>
  <si>
    <t>BEVERIE</t>
  </si>
  <si>
    <t>DULSEA</t>
  </si>
  <si>
    <t>MAKSHI</t>
  </si>
  <si>
    <t>CARON</t>
  </si>
  <si>
    <t>SHIULI</t>
  </si>
  <si>
    <t>ALYOSHA</t>
  </si>
  <si>
    <t>GRADEY</t>
  </si>
  <si>
    <t>VASU</t>
  </si>
  <si>
    <t>BHUVAN</t>
  </si>
  <si>
    <t>NATALEE</t>
  </si>
  <si>
    <t>ALICEA</t>
  </si>
  <si>
    <t>MICHALE</t>
  </si>
  <si>
    <t>GUMWANT</t>
  </si>
  <si>
    <t>NAROIS</t>
  </si>
  <si>
    <t>MARLINE</t>
  </si>
  <si>
    <t>KATYA</t>
  </si>
  <si>
    <t>JAMESY</t>
  </si>
  <si>
    <t>ANJUSHRI</t>
  </si>
  <si>
    <t>KRISHNAKANTA</t>
  </si>
  <si>
    <t>DHRUV</t>
  </si>
  <si>
    <t>GRANNY</t>
  </si>
  <si>
    <t>BARBARA-ANNE</t>
  </si>
  <si>
    <t>CALVIN</t>
  </si>
  <si>
    <t>VANMALA</t>
  </si>
  <si>
    <t>SAMEER</t>
  </si>
  <si>
    <t>BARR</t>
  </si>
  <si>
    <t>ANUMATI</t>
  </si>
  <si>
    <t>FRED</t>
  </si>
  <si>
    <t>TARALA</t>
  </si>
  <si>
    <t>SHUBHRA</t>
  </si>
  <si>
    <t>MABEL</t>
  </si>
  <si>
    <t>CARLIN</t>
  </si>
  <si>
    <t>HEMAVATI</t>
  </si>
  <si>
    <t>KRITTIKA</t>
  </si>
  <si>
    <t>ADEY</t>
  </si>
  <si>
    <t>EVANNE</t>
  </si>
  <si>
    <t>SYD</t>
  </si>
  <si>
    <t>CARA</t>
  </si>
  <si>
    <t>EGOR</t>
  </si>
  <si>
    <t>THERESITA</t>
  </si>
  <si>
    <t>COLLIN</t>
  </si>
  <si>
    <t>SHEVANTILAL</t>
  </si>
  <si>
    <t>SHATTESH</t>
  </si>
  <si>
    <t>STAN</t>
  </si>
  <si>
    <t>ADELA</t>
  </si>
  <si>
    <t>THEDRICK</t>
  </si>
  <si>
    <t>LETISHA</t>
  </si>
  <si>
    <t>KAMALAKSHI</t>
  </si>
  <si>
    <t>CHANDANA</t>
  </si>
  <si>
    <t>INDU</t>
  </si>
  <si>
    <t>KARUNA</t>
  </si>
  <si>
    <t>ANTONETTA</t>
  </si>
  <si>
    <t>WALD</t>
  </si>
  <si>
    <t>MARDAV</t>
  </si>
  <si>
    <t>EDD</t>
  </si>
  <si>
    <t>HOGAN</t>
  </si>
  <si>
    <t>ROBINIA</t>
  </si>
  <si>
    <t>SARAYU</t>
  </si>
  <si>
    <t>KEVALKUMAR</t>
  </si>
  <si>
    <t>UPENDRA</t>
  </si>
  <si>
    <t>DEEPIT</t>
  </si>
  <si>
    <t>EDI</t>
  </si>
  <si>
    <t>REVKAH</t>
  </si>
  <si>
    <t>AMAL</t>
  </si>
  <si>
    <t>KUNJA</t>
  </si>
  <si>
    <t>IRIS</t>
  </si>
  <si>
    <t>MALORY</t>
  </si>
  <si>
    <t>LEA</t>
  </si>
  <si>
    <t>HINDA</t>
  </si>
  <si>
    <t>GODAVARI</t>
  </si>
  <si>
    <t>ELEONORE</t>
  </si>
  <si>
    <t>RAFAELITA</t>
  </si>
  <si>
    <t>BENDITE</t>
  </si>
  <si>
    <t>SIDONEY</t>
  </si>
  <si>
    <t>VAUGHN</t>
  </si>
  <si>
    <t>MELVA</t>
  </si>
  <si>
    <t>AUSTINE</t>
  </si>
  <si>
    <t>RUBY</t>
  </si>
  <si>
    <t>ZACH</t>
  </si>
  <si>
    <t>LARISSA</t>
  </si>
  <si>
    <t>YVES</t>
  </si>
  <si>
    <t>NONAH</t>
  </si>
  <si>
    <t>LUCA</t>
  </si>
  <si>
    <t>DEVASREE</t>
  </si>
  <si>
    <t>HEPHZIBAH</t>
  </si>
  <si>
    <t>BERYL</t>
  </si>
  <si>
    <t>GEENA</t>
  </si>
  <si>
    <t>BRAD</t>
  </si>
  <si>
    <t>RUPAK</t>
  </si>
  <si>
    <t>ADDI</t>
  </si>
  <si>
    <t>JOYCE</t>
  </si>
  <si>
    <t>SAWINI</t>
  </si>
  <si>
    <t>BARUNA</t>
  </si>
  <si>
    <t>FONZIE</t>
  </si>
  <si>
    <t>RODINA</t>
  </si>
  <si>
    <t>TORRANCE</t>
  </si>
  <si>
    <t>FREDA</t>
  </si>
  <si>
    <t>BERNIE</t>
  </si>
  <si>
    <t>VIOLANTE</t>
  </si>
  <si>
    <t>JEANNIE</t>
  </si>
  <si>
    <t>JAGAJEET</t>
  </si>
  <si>
    <t>HUSEIN</t>
  </si>
  <si>
    <t>ALIDA</t>
  </si>
  <si>
    <t>KULBHUSHAN</t>
  </si>
  <si>
    <t>ANNI</t>
  </si>
  <si>
    <t>ILESH</t>
  </si>
  <si>
    <t>MADHUMATI</t>
  </si>
  <si>
    <t>CHITRASEN</t>
  </si>
  <si>
    <t>JAISHREE</t>
  </si>
  <si>
    <t>KANTIMOY</t>
  </si>
  <si>
    <t>RAMESHWARI</t>
  </si>
  <si>
    <t>LALIT</t>
  </si>
  <si>
    <t>HALI</t>
  </si>
  <si>
    <t>SAHAS</t>
  </si>
  <si>
    <t>GWENNETH</t>
  </si>
  <si>
    <t>KONSTANTIN</t>
  </si>
  <si>
    <t>KAISHORI</t>
  </si>
  <si>
    <t>MENDEL</t>
  </si>
  <si>
    <t>RUSHIL</t>
  </si>
  <si>
    <t>PATTI</t>
  </si>
  <si>
    <t>MARJIE</t>
  </si>
  <si>
    <t>SAROJINI</t>
  </si>
  <si>
    <t>MARMADUKE</t>
  </si>
  <si>
    <t>ROSELLE</t>
  </si>
  <si>
    <t>SARTAJ</t>
  </si>
  <si>
    <t>KORAL</t>
  </si>
  <si>
    <t>ANJELA</t>
  </si>
  <si>
    <t>MAHINDRA</t>
  </si>
  <si>
    <t>SUCHIRA</t>
  </si>
  <si>
    <t>CARRY</t>
  </si>
  <si>
    <t>FULLARA</t>
  </si>
  <si>
    <t>HRIDAYNATH</t>
  </si>
  <si>
    <t>FIDELA</t>
  </si>
  <si>
    <t>Headcount</t>
  </si>
  <si>
    <t>Total Salary</t>
  </si>
  <si>
    <t>Research and Development</t>
  </si>
  <si>
    <t>Essential Excel Functions &amp; Formulas</t>
  </si>
  <si>
    <t>First Name</t>
  </si>
  <si>
    <t>Last Name</t>
  </si>
  <si>
    <t>Salary Bucket</t>
  </si>
  <si>
    <t>Tenure</t>
  </si>
  <si>
    <t>Work Type</t>
  </si>
  <si>
    <t>Torrance</t>
  </si>
  <si>
    <t>Part time</t>
  </si>
  <si>
    <t>Devrat</t>
  </si>
  <si>
    <t>Minerva</t>
  </si>
  <si>
    <t>Above 100k</t>
  </si>
  <si>
    <t>Husein</t>
  </si>
  <si>
    <t>Lalitchandra</t>
  </si>
  <si>
    <t>Hogan</t>
  </si>
  <si>
    <t>Under 50k</t>
  </si>
  <si>
    <t>Vasavi</t>
  </si>
  <si>
    <t>Inger</t>
  </si>
  <si>
    <t>Patti</t>
  </si>
  <si>
    <t>Addi</t>
  </si>
  <si>
    <t>Beverie</t>
  </si>
  <si>
    <t>Louise</t>
  </si>
  <si>
    <t>Avg. Salary</t>
  </si>
  <si>
    <t>Permanent Employees Headcount</t>
  </si>
  <si>
    <t>All employees with &gt;100k Salary</t>
  </si>
  <si>
    <t>Lowest, Highest and top 5 salay Values</t>
  </si>
  <si>
    <t>All emps</t>
  </si>
  <si>
    <t>Lowest salary</t>
  </si>
  <si>
    <t>Top 5 Salaries</t>
  </si>
  <si>
    <t>Highest salary</t>
  </si>
  <si>
    <t>see rows when you come to practice</t>
  </si>
  <si>
    <t>Column1</t>
  </si>
  <si>
    <t>List all departments and count them</t>
  </si>
  <si>
    <t>Department:</t>
  </si>
  <si>
    <t>Count:</t>
  </si>
  <si>
    <t>Employee Lookup</t>
  </si>
  <si>
    <t>Employee ID</t>
  </si>
  <si>
    <t>FIRST NAME:</t>
  </si>
  <si>
    <t>LAST NAME:</t>
  </si>
  <si>
    <t>DEPARTMENT:</t>
  </si>
  <si>
    <t>SALARY:</t>
  </si>
  <si>
    <t>Gender:</t>
  </si>
  <si>
    <t>Last Name:</t>
  </si>
  <si>
    <t>Salary: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</si>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</sst>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2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9" fontId="0" fillId="0" borderId="0" xfId="1" applyFont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5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15" fontId="0" fillId="0" borderId="0" xfId="0" applyNumberFormat="1"/>
    <xf numFmtId="2" fontId="0" fillId="0" borderId="0" xfId="0" applyNumberFormat="1" applyAlignment="1">
      <alignment horizontal="center"/>
    </xf>
    <xf numFmtId="0" fontId="5" fillId="6" borderId="1" xfId="0" applyFont="1" applyFill="1" applyBorder="1"/>
    <xf numFmtId="0" fontId="0" fillId="7" borderId="1" xfId="0" applyFill="1" applyBorder="1"/>
    <xf numFmtId="0" fontId="0" fillId="0" borderId="1" xfId="0" applyBorder="1"/>
    <xf numFmtId="165" fontId="0" fillId="0" borderId="0" xfId="0" applyNumberFormat="1"/>
    <xf numFmtId="165" fontId="0" fillId="0" borderId="0" xfId="2" applyNumberFormat="1" applyFont="1"/>
    <xf numFmtId="0" fontId="6" fillId="3" borderId="0" xfId="0" applyFont="1" applyFill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7">
    <dxf>
      <numFmt numFmtId="2" formatCode="0.00"/>
      <alignment horizontal="center" vertical="bottom" textRotation="0" wrapText="0" indent="0" justifyLastLine="0" shrinkToFit="0" readingOrder="0"/>
    </dxf>
    <dxf>
      <numFmt numFmtId="166" formatCode="d\-mmm\-yy"/>
    </dxf>
    <dxf>
      <numFmt numFmtId="164" formatCode="&quot;$&quot;#,##0_);[Red]\(&quot;$&quot;#,##0\)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medals!$C$1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medals!$B$2:$B$94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Cuba</c:v>
                </c:pt>
                <c:pt idx="14">
                  <c:v>Hungary</c:v>
                </c:pt>
                <c:pt idx="15">
                  <c:v>South Korea</c:v>
                </c:pt>
                <c:pt idx="16">
                  <c:v>Poland</c:v>
                </c:pt>
                <c:pt idx="17">
                  <c:v>Czech Republic</c:v>
                </c:pt>
                <c:pt idx="18">
                  <c:v>Kenya</c:v>
                </c:pt>
                <c:pt idx="19">
                  <c:v>Norway</c:v>
                </c:pt>
                <c:pt idx="20">
                  <c:v>Jamaica</c:v>
                </c:pt>
                <c:pt idx="21">
                  <c:v>Spain</c:v>
                </c:pt>
                <c:pt idx="22">
                  <c:v>Sweden</c:v>
                </c:pt>
                <c:pt idx="23">
                  <c:v>Switzerland</c:v>
                </c:pt>
                <c:pt idx="24">
                  <c:v>Denmark</c:v>
                </c:pt>
                <c:pt idx="25">
                  <c:v>Croatia</c:v>
                </c:pt>
                <c:pt idx="26">
                  <c:v>Iran</c:v>
                </c:pt>
                <c:pt idx="27">
                  <c:v>Serbia</c:v>
                </c:pt>
                <c:pt idx="28">
                  <c:v>Belgium</c:v>
                </c:pt>
                <c:pt idx="29">
                  <c:v>Bulgaria</c:v>
                </c:pt>
                <c:pt idx="30">
                  <c:v>Slovenia</c:v>
                </c:pt>
                <c:pt idx="31">
                  <c:v>Uzbekistan</c:v>
                </c:pt>
                <c:pt idx="32">
                  <c:v>Georgia</c:v>
                </c:pt>
                <c:pt idx="33">
                  <c:v>Chinese Taipei</c:v>
                </c:pt>
                <c:pt idx="34">
                  <c:v>Turkey</c:v>
                </c:pt>
                <c:pt idx="35">
                  <c:v>Greece</c:v>
                </c:pt>
                <c:pt idx="36">
                  <c:v>Uganda</c:v>
                </c:pt>
                <c:pt idx="37">
                  <c:v>Ecuador</c:v>
                </c:pt>
                <c:pt idx="38">
                  <c:v>Ireland</c:v>
                </c:pt>
                <c:pt idx="39">
                  <c:v>Israel</c:v>
                </c:pt>
                <c:pt idx="40">
                  <c:v>Qatar</c:v>
                </c:pt>
                <c:pt idx="41">
                  <c:v>Bahamas</c:v>
                </c:pt>
                <c:pt idx="42">
                  <c:v>Kosovo</c:v>
                </c:pt>
                <c:pt idx="43">
                  <c:v>Ukraine</c:v>
                </c:pt>
                <c:pt idx="44">
                  <c:v>Belarus</c:v>
                </c:pt>
                <c:pt idx="45">
                  <c:v>Romania</c:v>
                </c:pt>
                <c:pt idx="46">
                  <c:v>Venezuela</c:v>
                </c:pt>
                <c:pt idx="47">
                  <c:v>India</c:v>
                </c:pt>
                <c:pt idx="48">
                  <c:v>Hong Kong</c:v>
                </c:pt>
                <c:pt idx="49">
                  <c:v>Philippines</c:v>
                </c:pt>
                <c:pt idx="50">
                  <c:v>Slovakia</c:v>
                </c:pt>
                <c:pt idx="51">
                  <c:v>South Africa</c:v>
                </c:pt>
                <c:pt idx="52">
                  <c:v>Austria</c:v>
                </c:pt>
                <c:pt idx="53">
                  <c:v>Egypt</c:v>
                </c:pt>
                <c:pt idx="54">
                  <c:v>Indonesia</c:v>
                </c:pt>
                <c:pt idx="55">
                  <c:v>Ethiopia</c:v>
                </c:pt>
                <c:pt idx="56">
                  <c:v>Portugal</c:v>
                </c:pt>
                <c:pt idx="57">
                  <c:v>Tunisia</c:v>
                </c:pt>
                <c:pt idx="58">
                  <c:v>Estonia</c:v>
                </c:pt>
                <c:pt idx="59">
                  <c:v>Fiji</c:v>
                </c:pt>
                <c:pt idx="60">
                  <c:v>Latvia</c:v>
                </c:pt>
                <c:pt idx="61">
                  <c:v>Thailand</c:v>
                </c:pt>
                <c:pt idx="62">
                  <c:v>Bermuda</c:v>
                </c:pt>
                <c:pt idx="63">
                  <c:v>Morocco</c:v>
                </c:pt>
                <c:pt idx="64">
                  <c:v>Puerto Rico</c:v>
                </c:pt>
                <c:pt idx="65">
                  <c:v>Colombia</c:v>
                </c:pt>
                <c:pt idx="66">
                  <c:v>Azerbaijan</c:v>
                </c:pt>
                <c:pt idx="67">
                  <c:v>Dominican Republic</c:v>
                </c:pt>
                <c:pt idx="68">
                  <c:v>Armenia</c:v>
                </c:pt>
                <c:pt idx="69">
                  <c:v>Kyrgyzstan</c:v>
                </c:pt>
                <c:pt idx="70">
                  <c:v>Mongolia</c:v>
                </c:pt>
                <c:pt idx="71">
                  <c:v>Argentina</c:v>
                </c:pt>
                <c:pt idx="72">
                  <c:v>San Marino</c:v>
                </c:pt>
                <c:pt idx="73">
                  <c:v>Jordan</c:v>
                </c:pt>
                <c:pt idx="74">
                  <c:v>Malaysia</c:v>
                </c:pt>
                <c:pt idx="75">
                  <c:v>Nigeria</c:v>
                </c:pt>
                <c:pt idx="76">
                  <c:v>Bahrain</c:v>
                </c:pt>
                <c:pt idx="77">
                  <c:v>Lithuania</c:v>
                </c:pt>
                <c:pt idx="78">
                  <c:v>Namibia</c:v>
                </c:pt>
                <c:pt idx="79">
                  <c:v>North Macedonia</c:v>
                </c:pt>
                <c:pt idx="80">
                  <c:v>Saudi Arabia</c:v>
                </c:pt>
                <c:pt idx="81">
                  <c:v>Turkmenistan</c:v>
                </c:pt>
                <c:pt idx="82">
                  <c:v>Kazakhstan</c:v>
                </c:pt>
                <c:pt idx="83">
                  <c:v>Mexico</c:v>
                </c:pt>
                <c:pt idx="84">
                  <c:v>Finland</c:v>
                </c:pt>
                <c:pt idx="85">
                  <c:v>Botswana</c:v>
                </c:pt>
                <c:pt idx="86">
                  <c:v>Burkina Faso</c:v>
                </c:pt>
                <c:pt idx="87">
                  <c:v>Ghana</c:v>
                </c:pt>
                <c:pt idx="88">
                  <c:v>Grenada</c:v>
                </c:pt>
                <c:pt idx="89">
                  <c:v>Ivory Coast</c:v>
                </c:pt>
                <c:pt idx="90">
                  <c:v>Kuwait</c:v>
                </c:pt>
                <c:pt idx="91">
                  <c:v>Moldova</c:v>
                </c:pt>
                <c:pt idx="92">
                  <c:v>Syria</c:v>
                </c:pt>
              </c:strCache>
            </c:strRef>
          </c:cat>
          <c:val>
            <c:numRef>
              <c:f>medals!$C$2:$C$94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43CE-8854-15AD7A186D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154688"/>
        <c:axId val="1047148456"/>
      </c:barChart>
      <c:catAx>
        <c:axId val="104715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48456"/>
        <c:crosses val="autoZero"/>
        <c:auto val="1"/>
        <c:lblAlgn val="ctr"/>
        <c:lblOffset val="100"/>
        <c:noMultiLvlLbl val="0"/>
      </c:catAx>
      <c:valAx>
        <c:axId val="104714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5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3</xdr:row>
      <xdr:rowOff>47625</xdr:rowOff>
    </xdr:from>
    <xdr:to>
      <xdr:col>11</xdr:col>
      <xdr:colOff>419100</xdr:colOff>
      <xdr:row>8</xdr:row>
      <xdr:rowOff>133350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662D772-93F9-4C5B-A061-1DADD6EE1599}"/>
            </a:ext>
          </a:extLst>
        </xdr:cNvPr>
        <xdr:cNvSpPr/>
      </xdr:nvSpPr>
      <xdr:spPr>
        <a:xfrm>
          <a:off x="5114925" y="666750"/>
          <a:ext cx="2009775" cy="103822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yashu</a:t>
          </a:r>
          <a:endParaRPr lang="en-IN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312965</xdr:colOff>
      <xdr:row>1</xdr:row>
      <xdr:rowOff>95250</xdr:rowOff>
    </xdr:from>
    <xdr:to>
      <xdr:col>23</xdr:col>
      <xdr:colOff>503463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1E619-F890-4F95-88B3-6E97EF650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4</xdr:row>
      <xdr:rowOff>95250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77AF4C-955E-4FEC-AC66-6B3FE2167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D897436-0B05-46C2-A6EF-B4512E68C016}" autoFormatId="16" applyNumberFormats="0" applyBorderFormats="0" applyFontFormats="0" applyPatternFormats="0" applyAlignmentFormats="0" applyWidthHeightFormats="0">
  <queryTableRefresh nextId="15">
    <queryTableFields count="14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Employes work type" tableColumnId="13"/>
      <queryTableField id="14" name="Year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E8AD01-BD5A-4FDC-BABA-78CF6994F2C2}" autoFormatId="16" applyNumberFormats="0" applyBorderFormats="0" applyFontFormats="0" applyPatternFormats="0" applyAlignmentFormats="0" applyWidthHeightFormats="0">
  <queryTableRefresh nextId="9">
    <queryTableFields count="7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7" name="Division" tableColumnId="7"/>
      <queryTableField id="6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FD46F-6063-42CE-BC2C-03279BC1DA75}" name="Staff" displayName="Staff" ref="A1:N261" tableType="queryTable" totalsRowShown="0">
  <autoFilter ref="A1:N261" xr:uid="{4CCFD46F-6063-42CE-BC2C-03279BC1DA75}"/>
  <tableColumns count="14">
    <tableColumn id="1" xr3:uid="{A00492BD-1CC8-4212-B7CD-2492F74F88EF}" uniqueName="1" name="Emp ID" queryTableFieldId="1" dataDxfId="16"/>
    <tableColumn id="2" xr3:uid="{EA9136E8-816B-4222-BB0A-48B38EF0CADA}" uniqueName="2" name="First name" queryTableFieldId="2" dataDxfId="15"/>
    <tableColumn id="3" xr3:uid="{97742DAB-054C-49F8-8120-CF7968C7250A}" uniqueName="3" name="Last name" queryTableFieldId="3" dataDxfId="14"/>
    <tableColumn id="4" xr3:uid="{AC6D5DBF-BFE6-4982-B47D-A0EC90626BD8}" uniqueName="4" name="Gender" queryTableFieldId="4" dataDxfId="13"/>
    <tableColumn id="5" xr3:uid="{C2AD0C66-22C1-4BD8-8037-D63B929AAB83}" uniqueName="5" name="Department" queryTableFieldId="5" dataDxfId="12"/>
    <tableColumn id="6" xr3:uid="{079A0912-07C4-423C-8A5B-E406D0E9B293}" uniqueName="6" name="Salary" queryTableFieldId="6"/>
    <tableColumn id="7" xr3:uid="{27072620-4DF7-4180-9AC9-C07758AD68FB}" uniqueName="7" name="salary bucket" queryTableFieldId="7"/>
    <tableColumn id="8" xr3:uid="{40FB8ED2-D1BA-4CEA-9769-692C663FADE0}" uniqueName="8" name="Start Date" queryTableFieldId="8" dataDxfId="11"/>
    <tableColumn id="9" xr3:uid="{47D060D6-F43C-4467-AE33-89A673859028}" uniqueName="9" name="FTE" queryTableFieldId="9"/>
    <tableColumn id="10" xr3:uid="{E4E79F4C-5A78-4F7C-8890-22ABE877C653}" uniqueName="10" name="Employee type" queryTableFieldId="10" dataDxfId="10"/>
    <tableColumn id="11" xr3:uid="{B38D78A2-8B75-40E3-B00C-6A78C7063B3D}" uniqueName="11" name="Work location" queryTableFieldId="11" dataDxfId="9"/>
    <tableColumn id="12" xr3:uid="{CA067078-5DC1-4CFF-8D80-0B9F30910DA8}" uniqueName="12" name="Age" queryTableFieldId="12"/>
    <tableColumn id="13" xr3:uid="{797DD715-3893-4784-96E0-3FB749DF2B92}" uniqueName="13" name="Employes work type" queryTableFieldId="13"/>
    <tableColumn id="14" xr3:uid="{0CFC8A5F-D17B-4AA1-A9A9-9937A13A14ED}" uniqueName="14" name="Years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FC5DB-4F42-40CA-8CDF-532BAD578412}" name="medals" displayName="medals" ref="A1:G94" tableType="queryTable" totalsRowShown="0">
  <autoFilter ref="A1:G94" xr:uid="{6AEFC5DB-4F42-40CA-8CDF-532BAD578412}"/>
  <tableColumns count="7">
    <tableColumn id="1" xr3:uid="{6E33605C-E1CA-438D-80A3-194D5DA21F0C}" uniqueName="1" name="Rank" queryTableFieldId="1" dataDxfId="8"/>
    <tableColumn id="2" xr3:uid="{AA5F36ED-AA4B-46A6-BB7C-0359E6433A29}" uniqueName="2" name="NOC" queryTableFieldId="2" dataDxfId="7"/>
    <tableColumn id="3" xr3:uid="{ED0ABD86-D074-4815-9996-1B36BB412FC5}" uniqueName="3" name="Gold" queryTableFieldId="3"/>
    <tableColumn id="4" xr3:uid="{BB595ED9-6394-4EDA-8C6C-51B4A7C17F71}" uniqueName="4" name="Silver" queryTableFieldId="4"/>
    <tableColumn id="5" xr3:uid="{64AD6BE9-112E-4201-9BCF-D4788E1FC408}" uniqueName="5" name="Bronze" queryTableFieldId="5"/>
    <tableColumn id="7" xr3:uid="{1D145B1A-2329-43C2-B4E7-CC9E7C96CA0C}" uniqueName="7" name="Division" queryTableFieldId="7" dataDxfId="6" dataCellStyle="Percent"/>
    <tableColumn id="6" xr3:uid="{B736ADED-481D-40E8-9B8E-F64B3F2BA22C}" uniqueName="6" name="Total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D4E9EE-2530-458D-B2D3-BD99B966F1EC}" name="Table4" displayName="Table4" ref="C4:E11" totalsRowShown="0" headerRowDxfId="5">
  <autoFilter ref="C4:E11" xr:uid="{28D4E9EE-2530-458D-B2D3-BD99B966F1EC}">
    <filterColumn colId="0" hiddenButton="1"/>
    <filterColumn colId="1" hiddenButton="1"/>
    <filterColumn colId="2" hiddenButton="1"/>
  </autoFilter>
  <tableColumns count="3">
    <tableColumn id="1" xr3:uid="{5AB7D4BD-349F-4169-B189-40ADF2813A8A}" name="All emps">
      <calculatedColumnFormula>LARGE(staff4[Salary],F5)</calculatedColumnFormula>
    </tableColumn>
    <tableColumn id="2" xr3:uid="{B4025B5B-2A98-4936-BB74-6C8DCE1CC0C0}" name="Male" dataDxfId="4">
      <calculatedColumnFormula>_xlfn.MINIFS(staff4[Salary],staff4[Gender],Table4[[#Headers],[Male]])</calculatedColumnFormula>
    </tableColumn>
    <tableColumn id="3" xr3:uid="{96E11361-6DA4-4E66-AE1E-5794483FFDC4}" name="Female" dataDxfId="3">
      <calculatedColumnFormula>_xlfn.MINIFS(staff4[Salary],staff4[Gender],Table4[[#Headers],[Female]])</calculatedColumnFormula>
    </tableColumn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67C82C-7974-42DC-825C-07DB4FBFD1A9}" name="Table5" displayName="Table5" ref="B5:B8" totalsRowShown="0">
  <autoFilter ref="B5:B8" xr:uid="{7E67C82C-7974-42DC-825C-07DB4FBFD1A9}">
    <filterColumn colId="0" hiddenButton="1"/>
  </autoFilter>
  <tableColumns count="1">
    <tableColumn id="1" xr3:uid="{18C97065-A519-4350-A81C-E90C26547878}" name="Column1"/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C4B6DF-5586-42E2-8498-9DE485F14001}" name="staff4" displayName="staff4" ref="C7:O19" totalsRowShown="0">
  <autoFilter ref="C7:O19" xr:uid="{9EC4B6DF-5586-42E2-8498-9DE485F14001}"/>
  <sortState xmlns:xlrd2="http://schemas.microsoft.com/office/spreadsheetml/2017/richdata2" ref="C8:O19">
    <sortCondition ref="C7:C267"/>
  </sortState>
  <tableColumns count="13">
    <tableColumn id="1" xr3:uid="{A0261BB3-C71E-4EF2-9629-C83010EF75C8}" name="Emp ID"/>
    <tableColumn id="2" xr3:uid="{5619FC10-BCD7-4655-BC99-18B91AB891D5}" name="First Name"/>
    <tableColumn id="3" xr3:uid="{0D5BD3D9-163F-41FC-BCA0-68175528A2EE}" name="Last Name"/>
    <tableColumn id="4" xr3:uid="{37BDA500-3263-4F4B-872C-DAE3A660FEA4}" name="Gender"/>
    <tableColumn id="5" xr3:uid="{8D74FDD0-7523-4E91-B08F-27DC329DF642}" name="Department"/>
    <tableColumn id="6" xr3:uid="{E5FFDB6F-146C-4203-B205-0830950CF00A}" name="Salary" dataDxfId="2"/>
    <tableColumn id="7" xr3:uid="{1B6A4453-1729-41AE-83CF-25F1BC8AD7AD}" name="Salary Bucket"/>
    <tableColumn id="8" xr3:uid="{4633995A-6871-4D26-8D69-EB0B38471957}" name="Start Date" dataDxfId="1"/>
    <tableColumn id="9" xr3:uid="{DD0D6AEF-D761-450B-B726-3644ECCA941D}" name="FTE"/>
    <tableColumn id="10" xr3:uid="{D9A6170B-7B26-4D98-99EE-E6564C585DBF}" name="Employee type"/>
    <tableColumn id="11" xr3:uid="{7D67C1BB-1257-4AA9-B87A-B4DFAE227EFE}" name="Work location"/>
    <tableColumn id="12" xr3:uid="{5D0CD54B-D158-4616-95E7-CB1B6B1CFB2F}" name="Tenure" dataDxfId="0"/>
    <tableColumn id="13" xr3:uid="{52481938-906F-4679-9452-B71072574D4D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3"/>
  <sheetViews>
    <sheetView workbookViewId="0">
      <selection activeCell="F5" sqref="F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ht="18.75" x14ac:dyDescent="0.3">
      <c r="A2">
        <v>1</v>
      </c>
      <c r="B2" s="2" t="s">
        <v>3</v>
      </c>
      <c r="C2">
        <f ca="1">RANDBETWEEN(1,10)</f>
        <v>10</v>
      </c>
    </row>
    <row r="3" spans="1:7" x14ac:dyDescent="0.25">
      <c r="A3">
        <v>2</v>
      </c>
      <c r="B3" s="3" t="s">
        <v>4</v>
      </c>
      <c r="C3">
        <f t="shared" ref="C3:C13" ca="1" si="0">RANDBETWEEN(1,10)</f>
        <v>1</v>
      </c>
    </row>
    <row r="4" spans="1:7" x14ac:dyDescent="0.25">
      <c r="A4">
        <v>3</v>
      </c>
      <c r="B4" s="3" t="s">
        <v>5</v>
      </c>
      <c r="C4">
        <f t="shared" ca="1" si="0"/>
        <v>8</v>
      </c>
    </row>
    <row r="5" spans="1:7" x14ac:dyDescent="0.25">
      <c r="A5">
        <v>4</v>
      </c>
      <c r="B5" s="3" t="s">
        <v>6</v>
      </c>
      <c r="C5">
        <f t="shared" ca="1" si="0"/>
        <v>6</v>
      </c>
    </row>
    <row r="6" spans="1:7" x14ac:dyDescent="0.25">
      <c r="A6">
        <v>5</v>
      </c>
      <c r="B6" s="3" t="s">
        <v>7</v>
      </c>
      <c r="C6">
        <f t="shared" ca="1" si="0"/>
        <v>4</v>
      </c>
      <c r="E6" s="3"/>
    </row>
    <row r="7" spans="1:7" x14ac:dyDescent="0.25">
      <c r="A7">
        <v>6</v>
      </c>
      <c r="B7" s="3" t="s">
        <v>8</v>
      </c>
      <c r="C7">
        <f t="shared" ca="1" si="0"/>
        <v>2</v>
      </c>
      <c r="F7" s="3"/>
    </row>
    <row r="8" spans="1:7" x14ac:dyDescent="0.25">
      <c r="A8">
        <v>7</v>
      </c>
      <c r="B8" s="3" t="s">
        <v>9</v>
      </c>
      <c r="C8">
        <f t="shared" ca="1" si="0"/>
        <v>5</v>
      </c>
    </row>
    <row r="9" spans="1:7" x14ac:dyDescent="0.25">
      <c r="A9">
        <v>8</v>
      </c>
      <c r="B9" s="3" t="s">
        <v>10</v>
      </c>
      <c r="C9" s="3">
        <f t="shared" ca="1" si="0"/>
        <v>3</v>
      </c>
      <c r="F9" s="3"/>
    </row>
    <row r="10" spans="1:7" x14ac:dyDescent="0.25">
      <c r="A10">
        <v>9</v>
      </c>
      <c r="B10" s="3" t="s">
        <v>11</v>
      </c>
      <c r="C10">
        <f t="shared" ca="1" si="0"/>
        <v>8</v>
      </c>
      <c r="E10" s="1"/>
    </row>
    <row r="11" spans="1:7" x14ac:dyDescent="0.25">
      <c r="A11">
        <v>10</v>
      </c>
      <c r="B11" s="3" t="s">
        <v>12</v>
      </c>
      <c r="C11">
        <f t="shared" ca="1" si="0"/>
        <v>4</v>
      </c>
      <c r="G11" s="1"/>
    </row>
    <row r="12" spans="1:7" x14ac:dyDescent="0.25">
      <c r="A12">
        <v>11</v>
      </c>
      <c r="B12" s="3" t="s">
        <v>13</v>
      </c>
      <c r="C12">
        <f t="shared" ca="1" si="0"/>
        <v>7</v>
      </c>
    </row>
    <row r="13" spans="1:7" x14ac:dyDescent="0.25">
      <c r="A13">
        <v>12</v>
      </c>
      <c r="C13">
        <f t="shared" ca="1" si="0"/>
        <v>10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9812-76DC-45A4-B0C9-EAC17C90BA02}">
  <dimension ref="A1:N261"/>
  <sheetViews>
    <sheetView topLeftCell="A24" zoomScaleNormal="100" workbookViewId="0">
      <selection activeCell="A39" sqref="A39"/>
    </sheetView>
  </sheetViews>
  <sheetFormatPr defaultRowHeight="15" x14ac:dyDescent="0.25"/>
  <cols>
    <col min="1" max="1" width="9.42578125" bestFit="1" customWidth="1"/>
    <col min="2" max="2" width="16.28515625" bestFit="1" customWidth="1"/>
    <col min="3" max="3" width="14.85546875" bestFit="1" customWidth="1"/>
    <col min="4" max="4" width="13.7109375" bestFit="1" customWidth="1"/>
    <col min="5" max="5" width="26.140625" bestFit="1" customWidth="1"/>
    <col min="6" max="6" width="10" bestFit="1" customWidth="1"/>
    <col min="7" max="7" width="14.85546875" bestFit="1" customWidth="1"/>
    <col min="8" max="8" width="12" bestFit="1" customWidth="1"/>
    <col min="9" max="9" width="6.28515625" bestFit="1" customWidth="1"/>
    <col min="10" max="10" width="16.7109375" bestFit="1" customWidth="1"/>
    <col min="11" max="11" width="23.85546875" bestFit="1" customWidth="1"/>
    <col min="12" max="12" width="12" bestFit="1" customWidth="1"/>
    <col min="13" max="13" width="21.42578125" bestFit="1" customWidth="1"/>
    <col min="14" max="14" width="8.140625" bestFit="1" customWidth="1"/>
  </cols>
  <sheetData>
    <row r="1" spans="1:14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687</v>
      </c>
    </row>
    <row r="2" spans="1:14" x14ac:dyDescent="0.25">
      <c r="A2" t="s">
        <v>194</v>
      </c>
      <c r="B2" t="s">
        <v>688</v>
      </c>
      <c r="C2" t="s">
        <v>195</v>
      </c>
      <c r="D2" t="s">
        <v>196</v>
      </c>
      <c r="E2" t="s">
        <v>197</v>
      </c>
      <c r="F2">
        <v>120000</v>
      </c>
      <c r="G2" t="s">
        <v>198</v>
      </c>
      <c r="H2" s="5">
        <v>43416</v>
      </c>
      <c r="I2">
        <v>1</v>
      </c>
      <c r="J2" t="s">
        <v>199</v>
      </c>
      <c r="K2" t="s">
        <v>200</v>
      </c>
      <c r="L2">
        <v>7.1150684931506847</v>
      </c>
      <c r="M2" t="s">
        <v>201</v>
      </c>
      <c r="N2">
        <v>2018</v>
      </c>
    </row>
    <row r="3" spans="1:14" x14ac:dyDescent="0.25">
      <c r="A3" t="s">
        <v>202</v>
      </c>
      <c r="B3" t="s">
        <v>689</v>
      </c>
      <c r="C3" t="s">
        <v>203</v>
      </c>
      <c r="D3" t="s">
        <v>204</v>
      </c>
      <c r="E3" t="s">
        <v>205</v>
      </c>
      <c r="F3">
        <v>98000</v>
      </c>
      <c r="G3" t="s">
        <v>206</v>
      </c>
      <c r="H3" s="5">
        <v>43710</v>
      </c>
      <c r="I3">
        <v>0.9</v>
      </c>
      <c r="J3" t="s">
        <v>199</v>
      </c>
      <c r="K3" t="s">
        <v>207</v>
      </c>
      <c r="L3">
        <v>6.3095890410958901</v>
      </c>
      <c r="M3" t="s">
        <v>208</v>
      </c>
      <c r="N3">
        <v>2019</v>
      </c>
    </row>
    <row r="4" spans="1:14" x14ac:dyDescent="0.25">
      <c r="A4" t="s">
        <v>209</v>
      </c>
      <c r="B4" t="s">
        <v>690</v>
      </c>
      <c r="C4" t="s">
        <v>210</v>
      </c>
      <c r="D4" t="s">
        <v>204</v>
      </c>
      <c r="E4" t="s">
        <v>211</v>
      </c>
      <c r="F4">
        <v>120000</v>
      </c>
      <c r="G4" t="s">
        <v>198</v>
      </c>
      <c r="H4" s="5">
        <v>43902</v>
      </c>
      <c r="I4">
        <v>0.9</v>
      </c>
      <c r="J4" t="s">
        <v>199</v>
      </c>
      <c r="K4" t="s">
        <v>200</v>
      </c>
      <c r="L4">
        <v>5.7835616438356166</v>
      </c>
      <c r="M4" t="s">
        <v>208</v>
      </c>
      <c r="N4">
        <v>2020</v>
      </c>
    </row>
    <row r="5" spans="1:14" x14ac:dyDescent="0.25">
      <c r="A5" t="s">
        <v>212</v>
      </c>
      <c r="B5" t="s">
        <v>691</v>
      </c>
      <c r="C5" t="s">
        <v>213</v>
      </c>
      <c r="D5" t="s">
        <v>204</v>
      </c>
      <c r="E5" t="s">
        <v>214</v>
      </c>
      <c r="F5">
        <v>93128.34</v>
      </c>
      <c r="G5" t="s">
        <v>206</v>
      </c>
      <c r="H5" s="5">
        <v>43164</v>
      </c>
      <c r="I5">
        <v>1</v>
      </c>
      <c r="J5" t="s">
        <v>215</v>
      </c>
      <c r="K5" t="s">
        <v>207</v>
      </c>
      <c r="L5">
        <v>7.8054794520547945</v>
      </c>
      <c r="M5" t="s">
        <v>201</v>
      </c>
      <c r="N5">
        <v>2018</v>
      </c>
    </row>
    <row r="6" spans="1:14" x14ac:dyDescent="0.25">
      <c r="A6" t="s">
        <v>216</v>
      </c>
      <c r="B6" t="s">
        <v>692</v>
      </c>
      <c r="C6" t="s">
        <v>217</v>
      </c>
      <c r="D6" t="s">
        <v>204</v>
      </c>
      <c r="E6" t="s">
        <v>214</v>
      </c>
      <c r="F6">
        <v>57002.02</v>
      </c>
      <c r="G6" t="s">
        <v>206</v>
      </c>
      <c r="H6" s="5">
        <v>43192</v>
      </c>
      <c r="I6">
        <v>0.7</v>
      </c>
      <c r="J6" t="s">
        <v>199</v>
      </c>
      <c r="K6" t="s">
        <v>218</v>
      </c>
      <c r="L6">
        <v>7.7287671232876711</v>
      </c>
      <c r="M6" t="s">
        <v>208</v>
      </c>
      <c r="N6">
        <v>2018</v>
      </c>
    </row>
    <row r="7" spans="1:14" x14ac:dyDescent="0.25">
      <c r="A7" t="s">
        <v>219</v>
      </c>
      <c r="B7" t="s">
        <v>693</v>
      </c>
      <c r="C7" t="s">
        <v>220</v>
      </c>
      <c r="D7" t="s">
        <v>196</v>
      </c>
      <c r="E7" t="s">
        <v>197</v>
      </c>
      <c r="F7">
        <v>118976.16</v>
      </c>
      <c r="G7" t="s">
        <v>198</v>
      </c>
      <c r="H7" s="5">
        <v>44120</v>
      </c>
      <c r="I7">
        <v>1</v>
      </c>
      <c r="J7" t="s">
        <v>199</v>
      </c>
      <c r="K7" t="s">
        <v>221</v>
      </c>
      <c r="L7">
        <v>5.1863013698630134</v>
      </c>
      <c r="M7" t="s">
        <v>201</v>
      </c>
      <c r="N7">
        <v>2020</v>
      </c>
    </row>
    <row r="8" spans="1:14" x14ac:dyDescent="0.25">
      <c r="A8" t="s">
        <v>222</v>
      </c>
      <c r="B8" t="s">
        <v>694</v>
      </c>
      <c r="C8" t="s">
        <v>223</v>
      </c>
      <c r="D8" t="s">
        <v>224</v>
      </c>
      <c r="E8" t="s">
        <v>225</v>
      </c>
      <c r="F8">
        <v>104802.63</v>
      </c>
      <c r="G8" t="s">
        <v>198</v>
      </c>
      <c r="H8" s="5">
        <v>44502</v>
      </c>
      <c r="I8">
        <v>1</v>
      </c>
      <c r="J8" t="s">
        <v>199</v>
      </c>
      <c r="K8" t="s">
        <v>218</v>
      </c>
      <c r="L8">
        <v>4.13972602739726</v>
      </c>
      <c r="M8" t="s">
        <v>201</v>
      </c>
      <c r="N8">
        <v>2021</v>
      </c>
    </row>
    <row r="9" spans="1:14" x14ac:dyDescent="0.25">
      <c r="A9" t="s">
        <v>226</v>
      </c>
      <c r="B9" t="s">
        <v>695</v>
      </c>
      <c r="C9" t="s">
        <v>227</v>
      </c>
      <c r="D9" t="s">
        <v>204</v>
      </c>
      <c r="E9" t="s">
        <v>228</v>
      </c>
      <c r="F9">
        <v>66017.179999999993</v>
      </c>
      <c r="G9" t="s">
        <v>206</v>
      </c>
      <c r="H9" s="5">
        <v>43643</v>
      </c>
      <c r="I9">
        <v>0.9</v>
      </c>
      <c r="J9" t="s">
        <v>199</v>
      </c>
      <c r="K9" t="s">
        <v>200</v>
      </c>
      <c r="L9">
        <v>6.493150684931507</v>
      </c>
      <c r="M9" t="s">
        <v>208</v>
      </c>
      <c r="N9">
        <v>2019</v>
      </c>
    </row>
    <row r="10" spans="1:14" x14ac:dyDescent="0.25">
      <c r="A10" t="s">
        <v>229</v>
      </c>
      <c r="B10" t="s">
        <v>696</v>
      </c>
      <c r="C10" t="s">
        <v>230</v>
      </c>
      <c r="D10" t="s">
        <v>196</v>
      </c>
      <c r="E10" t="s">
        <v>697</v>
      </c>
      <c r="F10">
        <v>74279.009999999995</v>
      </c>
      <c r="G10" t="s">
        <v>206</v>
      </c>
      <c r="H10" s="5">
        <v>43466</v>
      </c>
      <c r="I10">
        <v>1</v>
      </c>
      <c r="J10" t="s">
        <v>199</v>
      </c>
      <c r="K10" t="s">
        <v>221</v>
      </c>
      <c r="L10">
        <v>6.978082191780822</v>
      </c>
      <c r="M10" t="s">
        <v>201</v>
      </c>
      <c r="N10">
        <v>2019</v>
      </c>
    </row>
    <row r="11" spans="1:14" x14ac:dyDescent="0.25">
      <c r="A11" t="s">
        <v>231</v>
      </c>
      <c r="B11" t="s">
        <v>698</v>
      </c>
      <c r="C11" t="s">
        <v>232</v>
      </c>
      <c r="D11" t="s">
        <v>204</v>
      </c>
      <c r="E11" t="s">
        <v>205</v>
      </c>
      <c r="F11">
        <v>68980.52</v>
      </c>
      <c r="G11" t="s">
        <v>206</v>
      </c>
      <c r="H11" s="5">
        <v>43494</v>
      </c>
      <c r="I11">
        <v>0.8</v>
      </c>
      <c r="J11" t="s">
        <v>199</v>
      </c>
      <c r="K11" t="s">
        <v>200</v>
      </c>
      <c r="L11">
        <v>6.9013698630136986</v>
      </c>
      <c r="M11" t="s">
        <v>208</v>
      </c>
      <c r="N11">
        <v>2019</v>
      </c>
    </row>
    <row r="12" spans="1:14" x14ac:dyDescent="0.25">
      <c r="A12" t="s">
        <v>233</v>
      </c>
      <c r="B12" t="s">
        <v>699</v>
      </c>
      <c r="C12" t="s">
        <v>234</v>
      </c>
      <c r="D12" t="s">
        <v>204</v>
      </c>
      <c r="E12" t="s">
        <v>211</v>
      </c>
      <c r="F12">
        <v>42314.39</v>
      </c>
      <c r="G12" t="s">
        <v>235</v>
      </c>
      <c r="H12" s="5">
        <v>44487</v>
      </c>
      <c r="I12">
        <v>1</v>
      </c>
      <c r="J12" t="s">
        <v>215</v>
      </c>
      <c r="K12" t="s">
        <v>200</v>
      </c>
      <c r="L12">
        <v>4.1808219178082195</v>
      </c>
      <c r="M12" t="s">
        <v>201</v>
      </c>
      <c r="N12">
        <v>2021</v>
      </c>
    </row>
    <row r="13" spans="1:14" x14ac:dyDescent="0.25">
      <c r="A13" t="s">
        <v>236</v>
      </c>
      <c r="B13" t="s">
        <v>700</v>
      </c>
      <c r="C13" t="s">
        <v>237</v>
      </c>
      <c r="D13" t="s">
        <v>204</v>
      </c>
      <c r="E13" t="s">
        <v>197</v>
      </c>
      <c r="F13">
        <v>114425.19</v>
      </c>
      <c r="G13" t="s">
        <v>198</v>
      </c>
      <c r="H13" s="5">
        <v>43857</v>
      </c>
      <c r="I13">
        <v>1</v>
      </c>
      <c r="J13" t="s">
        <v>199</v>
      </c>
      <c r="K13" t="s">
        <v>221</v>
      </c>
      <c r="L13">
        <v>5.9068493150684933</v>
      </c>
      <c r="M13" t="s">
        <v>201</v>
      </c>
      <c r="N13">
        <v>2020</v>
      </c>
    </row>
    <row r="14" spans="1:14" x14ac:dyDescent="0.25">
      <c r="A14" t="s">
        <v>238</v>
      </c>
      <c r="B14" t="s">
        <v>701</v>
      </c>
      <c r="C14" t="s">
        <v>239</v>
      </c>
      <c r="D14" t="s">
        <v>204</v>
      </c>
      <c r="E14" t="s">
        <v>205</v>
      </c>
      <c r="F14">
        <v>69192.850000000006</v>
      </c>
      <c r="G14" t="s">
        <v>206</v>
      </c>
      <c r="H14" s="5">
        <v>44305</v>
      </c>
      <c r="I14">
        <v>1</v>
      </c>
      <c r="J14" t="s">
        <v>199</v>
      </c>
      <c r="K14" t="s">
        <v>240</v>
      </c>
      <c r="L14">
        <v>4.6794520547945204</v>
      </c>
      <c r="M14" t="s">
        <v>201</v>
      </c>
      <c r="N14">
        <v>2021</v>
      </c>
    </row>
    <row r="15" spans="1:14" x14ac:dyDescent="0.25">
      <c r="A15" t="s">
        <v>241</v>
      </c>
      <c r="B15" t="s">
        <v>702</v>
      </c>
      <c r="C15" t="s">
        <v>242</v>
      </c>
      <c r="D15" t="s">
        <v>196</v>
      </c>
      <c r="E15" t="s">
        <v>225</v>
      </c>
      <c r="F15">
        <v>61214.26</v>
      </c>
      <c r="G15" t="s">
        <v>206</v>
      </c>
      <c r="H15" s="5">
        <v>43171</v>
      </c>
      <c r="I15">
        <v>1</v>
      </c>
      <c r="J15" t="s">
        <v>243</v>
      </c>
      <c r="K15" t="s">
        <v>244</v>
      </c>
      <c r="L15">
        <v>7.7863013698630139</v>
      </c>
      <c r="M15" t="s">
        <v>201</v>
      </c>
      <c r="N15">
        <v>2018</v>
      </c>
    </row>
    <row r="16" spans="1:14" x14ac:dyDescent="0.25">
      <c r="A16" t="s">
        <v>245</v>
      </c>
      <c r="B16" t="s">
        <v>703</v>
      </c>
      <c r="C16" t="s">
        <v>246</v>
      </c>
      <c r="D16" t="s">
        <v>196</v>
      </c>
      <c r="E16" t="s">
        <v>225</v>
      </c>
      <c r="F16">
        <v>54137.05</v>
      </c>
      <c r="G16" t="s">
        <v>206</v>
      </c>
      <c r="H16" s="5">
        <v>43763</v>
      </c>
      <c r="I16">
        <v>1</v>
      </c>
      <c r="J16" t="s">
        <v>199</v>
      </c>
      <c r="K16" t="s">
        <v>200</v>
      </c>
      <c r="L16">
        <v>6.1643835616438354</v>
      </c>
      <c r="M16" t="s">
        <v>201</v>
      </c>
      <c r="N16">
        <v>2019</v>
      </c>
    </row>
    <row r="17" spans="1:14" x14ac:dyDescent="0.25">
      <c r="A17" t="s">
        <v>247</v>
      </c>
      <c r="B17" t="s">
        <v>704</v>
      </c>
      <c r="C17" t="s">
        <v>248</v>
      </c>
      <c r="D17" t="s">
        <v>204</v>
      </c>
      <c r="E17" t="s">
        <v>214</v>
      </c>
      <c r="F17">
        <v>37902.35</v>
      </c>
      <c r="G17" t="s">
        <v>235</v>
      </c>
      <c r="H17" s="5">
        <v>43823</v>
      </c>
      <c r="I17">
        <v>1</v>
      </c>
      <c r="J17" t="s">
        <v>199</v>
      </c>
      <c r="K17" t="s">
        <v>249</v>
      </c>
      <c r="L17">
        <v>6</v>
      </c>
      <c r="M17" t="s">
        <v>201</v>
      </c>
      <c r="N17">
        <v>2019</v>
      </c>
    </row>
    <row r="18" spans="1:14" x14ac:dyDescent="0.25">
      <c r="A18" t="s">
        <v>250</v>
      </c>
      <c r="B18" t="s">
        <v>705</v>
      </c>
      <c r="C18" t="s">
        <v>251</v>
      </c>
      <c r="D18" t="s">
        <v>196</v>
      </c>
      <c r="E18" t="s">
        <v>197</v>
      </c>
      <c r="F18">
        <v>39969.72</v>
      </c>
      <c r="G18" t="s">
        <v>235</v>
      </c>
      <c r="H18" s="5">
        <v>43444</v>
      </c>
      <c r="I18">
        <v>1</v>
      </c>
      <c r="J18" t="s">
        <v>243</v>
      </c>
      <c r="K18" t="s">
        <v>240</v>
      </c>
      <c r="L18">
        <v>7.0383561643835613</v>
      </c>
      <c r="M18" t="s">
        <v>201</v>
      </c>
      <c r="N18">
        <v>2018</v>
      </c>
    </row>
    <row r="19" spans="1:14" x14ac:dyDescent="0.25">
      <c r="A19" t="s">
        <v>252</v>
      </c>
      <c r="B19" t="s">
        <v>706</v>
      </c>
      <c r="C19" t="s">
        <v>253</v>
      </c>
      <c r="D19" t="s">
        <v>196</v>
      </c>
      <c r="E19" t="s">
        <v>211</v>
      </c>
      <c r="F19">
        <v>69913.39</v>
      </c>
      <c r="G19" t="s">
        <v>206</v>
      </c>
      <c r="H19" s="5">
        <v>43584</v>
      </c>
      <c r="I19">
        <v>1</v>
      </c>
      <c r="J19" t="s">
        <v>199</v>
      </c>
      <c r="K19" t="s">
        <v>200</v>
      </c>
      <c r="L19">
        <v>6.6547945205479451</v>
      </c>
      <c r="M19" t="s">
        <v>201</v>
      </c>
      <c r="N19">
        <v>2019</v>
      </c>
    </row>
    <row r="20" spans="1:14" x14ac:dyDescent="0.25">
      <c r="A20" t="s">
        <v>254</v>
      </c>
      <c r="B20" t="s">
        <v>707</v>
      </c>
      <c r="C20" t="s">
        <v>255</v>
      </c>
      <c r="D20" t="s">
        <v>196</v>
      </c>
      <c r="E20" t="s">
        <v>697</v>
      </c>
      <c r="F20">
        <v>52748.63</v>
      </c>
      <c r="G20" t="s">
        <v>206</v>
      </c>
      <c r="H20" s="5">
        <v>43857</v>
      </c>
      <c r="I20">
        <v>1</v>
      </c>
      <c r="J20" t="s">
        <v>199</v>
      </c>
      <c r="K20" t="s">
        <v>249</v>
      </c>
      <c r="L20">
        <v>5.9068493150684933</v>
      </c>
      <c r="M20" t="s">
        <v>201</v>
      </c>
      <c r="N20">
        <v>2020</v>
      </c>
    </row>
    <row r="21" spans="1:14" x14ac:dyDescent="0.25">
      <c r="A21" t="s">
        <v>256</v>
      </c>
      <c r="B21" t="s">
        <v>708</v>
      </c>
      <c r="C21" t="s">
        <v>257</v>
      </c>
      <c r="D21" t="s">
        <v>196</v>
      </c>
      <c r="E21" t="s">
        <v>258</v>
      </c>
      <c r="F21">
        <v>50310.09</v>
      </c>
      <c r="G21" t="s">
        <v>206</v>
      </c>
      <c r="H21" s="5">
        <v>44285</v>
      </c>
      <c r="I21">
        <v>0.4</v>
      </c>
      <c r="J21" t="s">
        <v>199</v>
      </c>
      <c r="K21" t="s">
        <v>218</v>
      </c>
      <c r="L21">
        <v>4.7342465753424658</v>
      </c>
      <c r="M21" t="s">
        <v>208</v>
      </c>
      <c r="N21">
        <v>2021</v>
      </c>
    </row>
    <row r="22" spans="1:14" x14ac:dyDescent="0.25">
      <c r="A22" t="s">
        <v>259</v>
      </c>
      <c r="B22" t="s">
        <v>709</v>
      </c>
      <c r="C22" t="s">
        <v>260</v>
      </c>
      <c r="D22" t="s">
        <v>196</v>
      </c>
      <c r="E22" t="s">
        <v>261</v>
      </c>
      <c r="F22">
        <v>52963.65</v>
      </c>
      <c r="G22" t="s">
        <v>206</v>
      </c>
      <c r="H22" s="5">
        <v>44288</v>
      </c>
      <c r="I22">
        <v>0.3</v>
      </c>
      <c r="J22" t="s">
        <v>199</v>
      </c>
      <c r="K22" t="s">
        <v>240</v>
      </c>
      <c r="L22">
        <v>4.7260273972602738</v>
      </c>
      <c r="M22" t="s">
        <v>208</v>
      </c>
      <c r="N22">
        <v>2021</v>
      </c>
    </row>
    <row r="23" spans="1:14" x14ac:dyDescent="0.25">
      <c r="A23" t="s">
        <v>262</v>
      </c>
      <c r="B23" t="s">
        <v>710</v>
      </c>
      <c r="C23" t="s">
        <v>263</v>
      </c>
      <c r="D23" t="s">
        <v>196</v>
      </c>
      <c r="E23" t="s">
        <v>264</v>
      </c>
      <c r="F23">
        <v>62195.47</v>
      </c>
      <c r="G23" t="s">
        <v>206</v>
      </c>
      <c r="H23" s="5">
        <v>44434</v>
      </c>
      <c r="I23">
        <v>1</v>
      </c>
      <c r="J23" t="s">
        <v>199</v>
      </c>
      <c r="K23" t="s">
        <v>200</v>
      </c>
      <c r="L23">
        <v>4.3260273972602743</v>
      </c>
      <c r="M23" t="s">
        <v>201</v>
      </c>
      <c r="N23">
        <v>2021</v>
      </c>
    </row>
    <row r="24" spans="1:14" x14ac:dyDescent="0.25">
      <c r="A24" t="s">
        <v>265</v>
      </c>
      <c r="B24" t="s">
        <v>711</v>
      </c>
      <c r="C24" t="s">
        <v>266</v>
      </c>
      <c r="D24" t="s">
        <v>196</v>
      </c>
      <c r="E24" t="s">
        <v>197</v>
      </c>
      <c r="F24">
        <v>43329.22</v>
      </c>
      <c r="G24" t="s">
        <v>235</v>
      </c>
      <c r="H24" s="5">
        <v>43809</v>
      </c>
      <c r="I24">
        <v>0.5</v>
      </c>
      <c r="J24" t="s">
        <v>215</v>
      </c>
      <c r="K24" t="s">
        <v>200</v>
      </c>
      <c r="L24">
        <v>6.0383561643835613</v>
      </c>
      <c r="M24" t="s">
        <v>208</v>
      </c>
      <c r="N24">
        <v>2019</v>
      </c>
    </row>
    <row r="25" spans="1:14" x14ac:dyDescent="0.25">
      <c r="A25" t="s">
        <v>267</v>
      </c>
      <c r="B25" t="s">
        <v>712</v>
      </c>
      <c r="C25" t="s">
        <v>268</v>
      </c>
      <c r="D25" t="s">
        <v>204</v>
      </c>
      <c r="E25" t="s">
        <v>214</v>
      </c>
      <c r="F25">
        <v>71570.990000000005</v>
      </c>
      <c r="G25" t="s">
        <v>206</v>
      </c>
      <c r="H25" s="5">
        <v>44249</v>
      </c>
      <c r="I25">
        <v>0.5</v>
      </c>
      <c r="J25" t="s">
        <v>199</v>
      </c>
      <c r="K25" t="s">
        <v>218</v>
      </c>
      <c r="L25">
        <v>4.8328767123287673</v>
      </c>
      <c r="M25" t="s">
        <v>208</v>
      </c>
      <c r="N25">
        <v>2021</v>
      </c>
    </row>
    <row r="26" spans="1:14" x14ac:dyDescent="0.25">
      <c r="A26" t="s">
        <v>269</v>
      </c>
      <c r="B26" t="s">
        <v>713</v>
      </c>
      <c r="C26" t="s">
        <v>270</v>
      </c>
      <c r="D26" t="s">
        <v>224</v>
      </c>
      <c r="E26" t="s">
        <v>214</v>
      </c>
      <c r="F26">
        <v>78840.23</v>
      </c>
      <c r="G26" t="s">
        <v>206</v>
      </c>
      <c r="H26" s="5">
        <v>43633</v>
      </c>
      <c r="I26">
        <v>1</v>
      </c>
      <c r="J26" t="s">
        <v>243</v>
      </c>
      <c r="K26" t="s">
        <v>200</v>
      </c>
      <c r="L26">
        <v>6.5205479452054798</v>
      </c>
      <c r="M26" t="s">
        <v>201</v>
      </c>
      <c r="N26">
        <v>2019</v>
      </c>
    </row>
    <row r="27" spans="1:14" x14ac:dyDescent="0.25">
      <c r="A27" t="s">
        <v>271</v>
      </c>
      <c r="B27" t="s">
        <v>714</v>
      </c>
      <c r="C27" t="s">
        <v>272</v>
      </c>
      <c r="D27" t="s">
        <v>204</v>
      </c>
      <c r="E27" t="s">
        <v>258</v>
      </c>
      <c r="F27">
        <v>61994.76</v>
      </c>
      <c r="G27" t="s">
        <v>206</v>
      </c>
      <c r="H27" s="5">
        <v>43794</v>
      </c>
      <c r="I27">
        <v>0.3</v>
      </c>
      <c r="J27" t="s">
        <v>199</v>
      </c>
      <c r="K27" t="s">
        <v>218</v>
      </c>
      <c r="L27">
        <v>6.0794520547945208</v>
      </c>
      <c r="M27" t="s">
        <v>208</v>
      </c>
      <c r="N27">
        <v>2019</v>
      </c>
    </row>
    <row r="28" spans="1:14" x14ac:dyDescent="0.25">
      <c r="A28" t="s">
        <v>273</v>
      </c>
      <c r="B28" t="s">
        <v>715</v>
      </c>
      <c r="C28" t="s">
        <v>274</v>
      </c>
      <c r="D28" t="s">
        <v>204</v>
      </c>
      <c r="E28" t="s">
        <v>211</v>
      </c>
      <c r="F28">
        <v>89690.38</v>
      </c>
      <c r="G28" t="s">
        <v>206</v>
      </c>
      <c r="H28" s="5">
        <v>43206</v>
      </c>
      <c r="I28">
        <v>1</v>
      </c>
      <c r="J28" t="s">
        <v>199</v>
      </c>
      <c r="K28" t="s">
        <v>221</v>
      </c>
      <c r="L28">
        <v>7.6904109589041099</v>
      </c>
      <c r="M28" t="s">
        <v>201</v>
      </c>
      <c r="N28">
        <v>2018</v>
      </c>
    </row>
    <row r="29" spans="1:14" x14ac:dyDescent="0.25">
      <c r="A29" t="s">
        <v>275</v>
      </c>
      <c r="B29" t="s">
        <v>716</v>
      </c>
      <c r="C29" t="s">
        <v>276</v>
      </c>
      <c r="D29" t="s">
        <v>196</v>
      </c>
      <c r="E29" t="s">
        <v>277</v>
      </c>
      <c r="F29">
        <v>104335.03999999999</v>
      </c>
      <c r="G29" t="s">
        <v>198</v>
      </c>
      <c r="H29" s="5">
        <v>43874</v>
      </c>
      <c r="I29">
        <v>1</v>
      </c>
      <c r="J29" t="s">
        <v>199</v>
      </c>
      <c r="K29" t="s">
        <v>240</v>
      </c>
      <c r="L29">
        <v>5.86027397260274</v>
      </c>
      <c r="M29" t="s">
        <v>201</v>
      </c>
      <c r="N29">
        <v>2020</v>
      </c>
    </row>
    <row r="30" spans="1:14" x14ac:dyDescent="0.25">
      <c r="A30" t="s">
        <v>278</v>
      </c>
      <c r="B30" t="s">
        <v>717</v>
      </c>
      <c r="C30" t="s">
        <v>279</v>
      </c>
      <c r="D30" t="s">
        <v>196</v>
      </c>
      <c r="E30" t="s">
        <v>261</v>
      </c>
      <c r="F30">
        <v>52246.29</v>
      </c>
      <c r="G30" t="s">
        <v>206</v>
      </c>
      <c r="H30" s="5">
        <v>43573</v>
      </c>
      <c r="I30">
        <v>1</v>
      </c>
      <c r="J30" t="s">
        <v>243</v>
      </c>
      <c r="K30" t="s">
        <v>221</v>
      </c>
      <c r="L30">
        <v>6.6849315068493151</v>
      </c>
      <c r="M30" t="s">
        <v>201</v>
      </c>
      <c r="N30">
        <v>2019</v>
      </c>
    </row>
    <row r="31" spans="1:14" x14ac:dyDescent="0.25">
      <c r="A31" t="s">
        <v>280</v>
      </c>
      <c r="B31" t="s">
        <v>718</v>
      </c>
      <c r="C31" t="s">
        <v>281</v>
      </c>
      <c r="D31" t="s">
        <v>196</v>
      </c>
      <c r="E31" t="s">
        <v>282</v>
      </c>
      <c r="F31">
        <v>90697.67</v>
      </c>
      <c r="G31" t="s">
        <v>206</v>
      </c>
      <c r="H31" s="5">
        <v>44221</v>
      </c>
      <c r="I31">
        <v>0.8</v>
      </c>
      <c r="J31" t="s">
        <v>199</v>
      </c>
      <c r="K31" t="s">
        <v>207</v>
      </c>
      <c r="L31">
        <v>4.9095890410958907</v>
      </c>
      <c r="M31" t="s">
        <v>208</v>
      </c>
      <c r="N31">
        <v>2021</v>
      </c>
    </row>
    <row r="32" spans="1:14" x14ac:dyDescent="0.25">
      <c r="A32" t="s">
        <v>283</v>
      </c>
      <c r="B32" t="s">
        <v>719</v>
      </c>
      <c r="C32" t="s">
        <v>284</v>
      </c>
      <c r="D32" t="s">
        <v>196</v>
      </c>
      <c r="E32" t="s">
        <v>205</v>
      </c>
      <c r="F32">
        <v>90884.32</v>
      </c>
      <c r="G32" t="s">
        <v>206</v>
      </c>
      <c r="H32" s="5">
        <v>43826</v>
      </c>
      <c r="I32">
        <v>1</v>
      </c>
      <c r="J32" t="s">
        <v>199</v>
      </c>
      <c r="K32" t="s">
        <v>240</v>
      </c>
      <c r="L32">
        <v>5.9917808219178079</v>
      </c>
      <c r="M32" t="s">
        <v>201</v>
      </c>
      <c r="N32">
        <v>2019</v>
      </c>
    </row>
    <row r="33" spans="1:14" x14ac:dyDescent="0.25">
      <c r="A33" t="s">
        <v>285</v>
      </c>
      <c r="B33" t="s">
        <v>720</v>
      </c>
      <c r="C33" t="s">
        <v>286</v>
      </c>
      <c r="D33" t="s">
        <v>196</v>
      </c>
      <c r="E33" t="s">
        <v>258</v>
      </c>
      <c r="F33">
        <v>76320.44</v>
      </c>
      <c r="G33" t="s">
        <v>206</v>
      </c>
      <c r="H33" s="5">
        <v>44383</v>
      </c>
      <c r="I33">
        <v>0.8</v>
      </c>
      <c r="J33" t="s">
        <v>243</v>
      </c>
      <c r="K33" t="s">
        <v>200</v>
      </c>
      <c r="L33">
        <v>4.4657534246575343</v>
      </c>
      <c r="M33" t="s">
        <v>208</v>
      </c>
      <c r="N33">
        <v>2021</v>
      </c>
    </row>
    <row r="34" spans="1:14" x14ac:dyDescent="0.25">
      <c r="A34" t="s">
        <v>287</v>
      </c>
      <c r="B34" t="s">
        <v>721</v>
      </c>
      <c r="C34" t="s">
        <v>288</v>
      </c>
      <c r="D34" t="s">
        <v>196</v>
      </c>
      <c r="E34" t="s">
        <v>205</v>
      </c>
      <c r="F34">
        <v>73360.38</v>
      </c>
      <c r="G34" t="s">
        <v>206</v>
      </c>
      <c r="H34" s="5">
        <v>43972</v>
      </c>
      <c r="I34">
        <v>1</v>
      </c>
      <c r="J34" t="s">
        <v>243</v>
      </c>
      <c r="K34" t="s">
        <v>200</v>
      </c>
      <c r="L34">
        <v>5.5917808219178085</v>
      </c>
      <c r="M34" t="s">
        <v>201</v>
      </c>
      <c r="N34">
        <v>2020</v>
      </c>
    </row>
    <row r="35" spans="1:14" x14ac:dyDescent="0.25">
      <c r="A35" t="s">
        <v>289</v>
      </c>
      <c r="B35" t="s">
        <v>722</v>
      </c>
      <c r="C35" t="s">
        <v>290</v>
      </c>
      <c r="D35" t="s">
        <v>204</v>
      </c>
      <c r="E35" t="s">
        <v>697</v>
      </c>
      <c r="F35">
        <v>50449.46</v>
      </c>
      <c r="G35" t="s">
        <v>206</v>
      </c>
      <c r="H35" s="5">
        <v>43418</v>
      </c>
      <c r="I35">
        <v>0.8</v>
      </c>
      <c r="J35" t="s">
        <v>199</v>
      </c>
      <c r="K35" t="s">
        <v>244</v>
      </c>
      <c r="L35">
        <v>7.1095890410958908</v>
      </c>
      <c r="M35" t="s">
        <v>208</v>
      </c>
      <c r="N35">
        <v>2018</v>
      </c>
    </row>
    <row r="36" spans="1:14" x14ac:dyDescent="0.25">
      <c r="A36" t="s">
        <v>291</v>
      </c>
      <c r="B36" t="s">
        <v>723</v>
      </c>
      <c r="C36" t="s">
        <v>292</v>
      </c>
      <c r="D36" t="s">
        <v>196</v>
      </c>
      <c r="E36" t="s">
        <v>214</v>
      </c>
      <c r="F36">
        <v>53949.26</v>
      </c>
      <c r="G36" t="s">
        <v>206</v>
      </c>
      <c r="H36" s="5">
        <v>43808</v>
      </c>
      <c r="I36">
        <v>1</v>
      </c>
      <c r="J36" t="s">
        <v>243</v>
      </c>
      <c r="K36" t="s">
        <v>240</v>
      </c>
      <c r="L36">
        <v>6.0410958904109586</v>
      </c>
      <c r="M36" t="s">
        <v>201</v>
      </c>
      <c r="N36">
        <v>2019</v>
      </c>
    </row>
    <row r="37" spans="1:14" x14ac:dyDescent="0.25">
      <c r="A37" t="s">
        <v>293</v>
      </c>
      <c r="B37" t="s">
        <v>724</v>
      </c>
      <c r="C37" t="s">
        <v>294</v>
      </c>
      <c r="D37" t="s">
        <v>196</v>
      </c>
      <c r="E37" t="s">
        <v>282</v>
      </c>
      <c r="F37">
        <v>113616.23</v>
      </c>
      <c r="G37" t="s">
        <v>198</v>
      </c>
      <c r="H37" s="5">
        <v>43255</v>
      </c>
      <c r="I37">
        <v>1</v>
      </c>
      <c r="J37" t="s">
        <v>199</v>
      </c>
      <c r="K37" t="s">
        <v>200</v>
      </c>
      <c r="L37">
        <v>7.5561643835616437</v>
      </c>
      <c r="M37" t="s">
        <v>201</v>
      </c>
      <c r="N37">
        <v>2018</v>
      </c>
    </row>
    <row r="38" spans="1:14" x14ac:dyDescent="0.25">
      <c r="A38" t="s">
        <v>295</v>
      </c>
      <c r="B38" t="s">
        <v>725</v>
      </c>
      <c r="C38" t="s">
        <v>296</v>
      </c>
      <c r="D38" t="s">
        <v>204</v>
      </c>
      <c r="E38" t="s">
        <v>277</v>
      </c>
      <c r="F38">
        <v>110906.35</v>
      </c>
      <c r="G38" t="s">
        <v>198</v>
      </c>
      <c r="H38" s="5">
        <v>43434</v>
      </c>
      <c r="I38">
        <v>1</v>
      </c>
      <c r="J38" t="s">
        <v>243</v>
      </c>
      <c r="K38" t="s">
        <v>221</v>
      </c>
      <c r="L38">
        <v>7.065753424657534</v>
      </c>
      <c r="M38" t="s">
        <v>201</v>
      </c>
      <c r="N38">
        <v>2018</v>
      </c>
    </row>
    <row r="39" spans="1:14" x14ac:dyDescent="0.25">
      <c r="A39" t="s">
        <v>297</v>
      </c>
      <c r="B39" t="s">
        <v>726</v>
      </c>
      <c r="C39" t="s">
        <v>298</v>
      </c>
      <c r="D39" t="s">
        <v>204</v>
      </c>
      <c r="E39" t="s">
        <v>225</v>
      </c>
      <c r="F39">
        <v>100371.31</v>
      </c>
      <c r="G39" t="s">
        <v>198</v>
      </c>
      <c r="H39" s="5">
        <v>44067</v>
      </c>
      <c r="I39">
        <v>0.8</v>
      </c>
      <c r="J39" t="s">
        <v>215</v>
      </c>
      <c r="K39" t="s">
        <v>244</v>
      </c>
      <c r="L39">
        <v>5.3315068493150681</v>
      </c>
      <c r="M39" t="s">
        <v>208</v>
      </c>
      <c r="N39">
        <v>2020</v>
      </c>
    </row>
    <row r="40" spans="1:14" x14ac:dyDescent="0.25">
      <c r="A40" t="s">
        <v>299</v>
      </c>
      <c r="B40" t="s">
        <v>727</v>
      </c>
      <c r="C40" t="s">
        <v>300</v>
      </c>
      <c r="D40" t="s">
        <v>204</v>
      </c>
      <c r="E40" t="s">
        <v>261</v>
      </c>
      <c r="F40">
        <v>69163.39</v>
      </c>
      <c r="G40" t="s">
        <v>206</v>
      </c>
      <c r="H40" s="5">
        <v>43397</v>
      </c>
      <c r="I40">
        <v>1</v>
      </c>
      <c r="J40" t="s">
        <v>199</v>
      </c>
      <c r="K40" t="s">
        <v>200</v>
      </c>
      <c r="L40">
        <v>7.1671232876712327</v>
      </c>
      <c r="M40" t="s">
        <v>201</v>
      </c>
      <c r="N40">
        <v>2018</v>
      </c>
    </row>
    <row r="41" spans="1:14" x14ac:dyDescent="0.25">
      <c r="A41" t="s">
        <v>301</v>
      </c>
      <c r="B41" t="s">
        <v>728</v>
      </c>
      <c r="C41" t="s">
        <v>302</v>
      </c>
      <c r="D41" t="s">
        <v>196</v>
      </c>
      <c r="E41" t="s">
        <v>214</v>
      </c>
      <c r="F41">
        <v>114691.03</v>
      </c>
      <c r="G41" t="s">
        <v>198</v>
      </c>
      <c r="H41" s="5">
        <v>44039</v>
      </c>
      <c r="I41">
        <v>1</v>
      </c>
      <c r="J41" t="s">
        <v>243</v>
      </c>
      <c r="K41" t="s">
        <v>221</v>
      </c>
      <c r="L41">
        <v>5.4082191780821915</v>
      </c>
      <c r="M41" t="s">
        <v>201</v>
      </c>
      <c r="N41">
        <v>2020</v>
      </c>
    </row>
    <row r="42" spans="1:14" x14ac:dyDescent="0.25">
      <c r="A42" t="s">
        <v>303</v>
      </c>
      <c r="B42" t="s">
        <v>729</v>
      </c>
      <c r="C42" t="s">
        <v>304</v>
      </c>
      <c r="D42" t="s">
        <v>196</v>
      </c>
      <c r="E42" t="s">
        <v>258</v>
      </c>
      <c r="F42">
        <v>86556.96</v>
      </c>
      <c r="G42" t="s">
        <v>206</v>
      </c>
      <c r="H42" s="5">
        <v>44104</v>
      </c>
      <c r="I42">
        <v>1</v>
      </c>
      <c r="J42" t="s">
        <v>199</v>
      </c>
      <c r="K42" t="s">
        <v>218</v>
      </c>
      <c r="L42">
        <v>5.2301369863013702</v>
      </c>
      <c r="M42" t="s">
        <v>201</v>
      </c>
      <c r="N42">
        <v>2020</v>
      </c>
    </row>
    <row r="43" spans="1:14" x14ac:dyDescent="0.25">
      <c r="A43" t="s">
        <v>305</v>
      </c>
      <c r="B43" t="s">
        <v>730</v>
      </c>
      <c r="C43" t="s">
        <v>306</v>
      </c>
      <c r="D43" t="s">
        <v>204</v>
      </c>
      <c r="E43" t="s">
        <v>211</v>
      </c>
      <c r="F43">
        <v>31172.77</v>
      </c>
      <c r="G43" t="s">
        <v>235</v>
      </c>
      <c r="H43" s="5">
        <v>43665</v>
      </c>
      <c r="I43">
        <v>1</v>
      </c>
      <c r="J43" t="s">
        <v>215</v>
      </c>
      <c r="K43" t="s">
        <v>200</v>
      </c>
      <c r="L43">
        <v>6.4328767123287669</v>
      </c>
      <c r="M43" t="s">
        <v>201</v>
      </c>
      <c r="N43">
        <v>2019</v>
      </c>
    </row>
    <row r="44" spans="1:14" x14ac:dyDescent="0.25">
      <c r="A44" t="s">
        <v>307</v>
      </c>
      <c r="B44" t="s">
        <v>731</v>
      </c>
      <c r="C44" t="s">
        <v>308</v>
      </c>
      <c r="D44" t="s">
        <v>196</v>
      </c>
      <c r="E44" t="s">
        <v>205</v>
      </c>
      <c r="F44">
        <v>80169.42</v>
      </c>
      <c r="G44" t="s">
        <v>206</v>
      </c>
      <c r="H44" s="5">
        <v>44053</v>
      </c>
      <c r="I44">
        <v>1</v>
      </c>
      <c r="J44" t="s">
        <v>199</v>
      </c>
      <c r="K44" t="s">
        <v>244</v>
      </c>
      <c r="L44">
        <v>5.3698630136986303</v>
      </c>
      <c r="M44" t="s">
        <v>201</v>
      </c>
      <c r="N44">
        <v>2020</v>
      </c>
    </row>
    <row r="45" spans="1:14" x14ac:dyDescent="0.25">
      <c r="A45" t="s">
        <v>291</v>
      </c>
      <c r="B45" t="s">
        <v>723</v>
      </c>
      <c r="C45" t="s">
        <v>292</v>
      </c>
      <c r="D45" t="s">
        <v>196</v>
      </c>
      <c r="E45" t="s">
        <v>214</v>
      </c>
      <c r="F45">
        <v>53949.26</v>
      </c>
      <c r="G45" t="s">
        <v>206</v>
      </c>
      <c r="H45" s="5">
        <v>43808</v>
      </c>
      <c r="I45">
        <v>1</v>
      </c>
      <c r="J45" t="s">
        <v>243</v>
      </c>
      <c r="K45" t="s">
        <v>240</v>
      </c>
      <c r="L45">
        <v>6.0410958904109586</v>
      </c>
      <c r="M45" t="s">
        <v>201</v>
      </c>
      <c r="N45">
        <v>2019</v>
      </c>
    </row>
    <row r="46" spans="1:14" x14ac:dyDescent="0.25">
      <c r="A46" t="s">
        <v>309</v>
      </c>
      <c r="B46" t="s">
        <v>732</v>
      </c>
      <c r="C46" t="s">
        <v>310</v>
      </c>
      <c r="D46" t="s">
        <v>204</v>
      </c>
      <c r="E46" t="s">
        <v>225</v>
      </c>
      <c r="F46">
        <v>58935.92</v>
      </c>
      <c r="G46" t="s">
        <v>206</v>
      </c>
      <c r="H46" s="5">
        <v>43717</v>
      </c>
      <c r="I46">
        <v>1</v>
      </c>
      <c r="J46" t="s">
        <v>243</v>
      </c>
      <c r="K46" t="s">
        <v>218</v>
      </c>
      <c r="L46">
        <v>6.2904109589041095</v>
      </c>
      <c r="M46" t="s">
        <v>201</v>
      </c>
      <c r="N46">
        <v>2019</v>
      </c>
    </row>
    <row r="47" spans="1:14" x14ac:dyDescent="0.25">
      <c r="A47" t="s">
        <v>311</v>
      </c>
      <c r="B47" t="s">
        <v>733</v>
      </c>
      <c r="C47" t="s">
        <v>312</v>
      </c>
      <c r="D47" t="s">
        <v>204</v>
      </c>
      <c r="E47" t="s">
        <v>225</v>
      </c>
      <c r="F47">
        <v>63555.73</v>
      </c>
      <c r="G47" t="s">
        <v>206</v>
      </c>
      <c r="H47" s="5">
        <v>44159</v>
      </c>
      <c r="I47">
        <v>1</v>
      </c>
      <c r="J47" t="s">
        <v>199</v>
      </c>
      <c r="K47" t="s">
        <v>249</v>
      </c>
      <c r="L47">
        <v>5.0794520547945208</v>
      </c>
      <c r="M47" t="s">
        <v>201</v>
      </c>
      <c r="N47">
        <v>2020</v>
      </c>
    </row>
    <row r="48" spans="1:14" x14ac:dyDescent="0.25">
      <c r="A48" t="s">
        <v>313</v>
      </c>
      <c r="B48" t="s">
        <v>734</v>
      </c>
      <c r="C48" t="s">
        <v>314</v>
      </c>
      <c r="D48" t="s">
        <v>196</v>
      </c>
      <c r="E48" t="s">
        <v>261</v>
      </c>
      <c r="F48">
        <v>57419.35</v>
      </c>
      <c r="G48" t="s">
        <v>206</v>
      </c>
      <c r="H48" s="5">
        <v>43305</v>
      </c>
      <c r="I48">
        <v>1</v>
      </c>
      <c r="J48" t="s">
        <v>215</v>
      </c>
      <c r="K48" t="s">
        <v>244</v>
      </c>
      <c r="L48">
        <v>7.419178082191781</v>
      </c>
      <c r="M48" t="s">
        <v>201</v>
      </c>
      <c r="N48">
        <v>2018</v>
      </c>
    </row>
    <row r="49" spans="1:14" x14ac:dyDescent="0.25">
      <c r="A49" t="s">
        <v>315</v>
      </c>
      <c r="B49" t="s">
        <v>735</v>
      </c>
      <c r="C49" t="s">
        <v>316</v>
      </c>
      <c r="D49" t="s">
        <v>204</v>
      </c>
      <c r="E49" t="s">
        <v>277</v>
      </c>
      <c r="F49">
        <v>67818.14</v>
      </c>
      <c r="G49" t="s">
        <v>206</v>
      </c>
      <c r="H49" s="5">
        <v>43406</v>
      </c>
      <c r="I49">
        <v>0.6</v>
      </c>
      <c r="J49" t="s">
        <v>215</v>
      </c>
      <c r="K49" t="s">
        <v>200</v>
      </c>
      <c r="L49">
        <v>7.1424657534246574</v>
      </c>
      <c r="M49" t="s">
        <v>208</v>
      </c>
      <c r="N49">
        <v>2018</v>
      </c>
    </row>
    <row r="50" spans="1:14" x14ac:dyDescent="0.25">
      <c r="A50" t="s">
        <v>317</v>
      </c>
      <c r="B50" t="s">
        <v>736</v>
      </c>
      <c r="C50" t="s">
        <v>318</v>
      </c>
      <c r="D50" t="s">
        <v>204</v>
      </c>
      <c r="E50" t="s">
        <v>197</v>
      </c>
      <c r="F50">
        <v>44403.77</v>
      </c>
      <c r="G50" t="s">
        <v>235</v>
      </c>
      <c r="H50" s="5">
        <v>43416</v>
      </c>
      <c r="I50">
        <v>1</v>
      </c>
      <c r="J50" t="s">
        <v>199</v>
      </c>
      <c r="K50" t="s">
        <v>218</v>
      </c>
      <c r="L50">
        <v>7.1150684931506847</v>
      </c>
      <c r="M50" t="s">
        <v>201</v>
      </c>
      <c r="N50">
        <v>2018</v>
      </c>
    </row>
    <row r="51" spans="1:14" x14ac:dyDescent="0.25">
      <c r="A51" t="s">
        <v>319</v>
      </c>
      <c r="B51" t="s">
        <v>737</v>
      </c>
      <c r="C51" t="s">
        <v>320</v>
      </c>
      <c r="D51" t="s">
        <v>196</v>
      </c>
      <c r="E51" t="s">
        <v>228</v>
      </c>
      <c r="F51">
        <v>40753.54</v>
      </c>
      <c r="G51" t="s">
        <v>235</v>
      </c>
      <c r="H51" s="5">
        <v>43152</v>
      </c>
      <c r="I51">
        <v>0.6</v>
      </c>
      <c r="J51" t="s">
        <v>199</v>
      </c>
      <c r="K51" t="s">
        <v>221</v>
      </c>
      <c r="L51">
        <v>7.838356164383562</v>
      </c>
      <c r="M51" t="s">
        <v>208</v>
      </c>
      <c r="N51">
        <v>2018</v>
      </c>
    </row>
    <row r="52" spans="1:14" x14ac:dyDescent="0.25">
      <c r="A52" t="s">
        <v>321</v>
      </c>
      <c r="B52" t="s">
        <v>738</v>
      </c>
      <c r="C52" t="s">
        <v>322</v>
      </c>
      <c r="D52" t="s">
        <v>204</v>
      </c>
      <c r="E52" t="s">
        <v>214</v>
      </c>
      <c r="F52">
        <v>102934.09</v>
      </c>
      <c r="G52" t="s">
        <v>198</v>
      </c>
      <c r="H52" s="5">
        <v>44315</v>
      </c>
      <c r="I52">
        <v>1</v>
      </c>
      <c r="J52" t="s">
        <v>199</v>
      </c>
      <c r="K52" t="s">
        <v>218</v>
      </c>
      <c r="L52">
        <v>4.6520547945205477</v>
      </c>
      <c r="M52" t="s">
        <v>201</v>
      </c>
      <c r="N52">
        <v>2021</v>
      </c>
    </row>
    <row r="53" spans="1:14" x14ac:dyDescent="0.25">
      <c r="A53" t="s">
        <v>323</v>
      </c>
      <c r="B53" t="s">
        <v>739</v>
      </c>
      <c r="C53" t="s">
        <v>324</v>
      </c>
      <c r="D53" t="s">
        <v>196</v>
      </c>
      <c r="E53" t="s">
        <v>264</v>
      </c>
      <c r="F53">
        <v>68860.399999999994</v>
      </c>
      <c r="G53" t="s">
        <v>206</v>
      </c>
      <c r="H53" s="5">
        <v>43508</v>
      </c>
      <c r="I53">
        <v>0.4</v>
      </c>
      <c r="J53" t="s">
        <v>199</v>
      </c>
      <c r="K53" t="s">
        <v>240</v>
      </c>
      <c r="L53">
        <v>6.8630136986301373</v>
      </c>
      <c r="M53" t="s">
        <v>208</v>
      </c>
      <c r="N53">
        <v>2019</v>
      </c>
    </row>
    <row r="54" spans="1:14" x14ac:dyDescent="0.25">
      <c r="A54" t="s">
        <v>325</v>
      </c>
      <c r="B54" t="s">
        <v>740</v>
      </c>
      <c r="C54" t="s">
        <v>326</v>
      </c>
      <c r="D54" t="s">
        <v>196</v>
      </c>
      <c r="E54" t="s">
        <v>214</v>
      </c>
      <c r="F54">
        <v>79567.69</v>
      </c>
      <c r="G54" t="s">
        <v>206</v>
      </c>
      <c r="H54" s="5">
        <v>43272</v>
      </c>
      <c r="I54">
        <v>1</v>
      </c>
      <c r="J54" t="s">
        <v>215</v>
      </c>
      <c r="K54" t="s">
        <v>249</v>
      </c>
      <c r="L54">
        <v>7.5095890410958903</v>
      </c>
      <c r="M54" t="s">
        <v>201</v>
      </c>
      <c r="N54">
        <v>2018</v>
      </c>
    </row>
    <row r="55" spans="1:14" x14ac:dyDescent="0.25">
      <c r="A55" t="s">
        <v>327</v>
      </c>
      <c r="B55" t="s">
        <v>741</v>
      </c>
      <c r="C55" t="s">
        <v>328</v>
      </c>
      <c r="D55" t="s">
        <v>204</v>
      </c>
      <c r="E55" t="s">
        <v>258</v>
      </c>
      <c r="F55">
        <v>35943.620000000003</v>
      </c>
      <c r="G55" t="s">
        <v>235</v>
      </c>
      <c r="H55" s="5">
        <v>44078</v>
      </c>
      <c r="I55">
        <v>1</v>
      </c>
      <c r="J55" t="s">
        <v>199</v>
      </c>
      <c r="K55" t="s">
        <v>240</v>
      </c>
      <c r="L55">
        <v>5.3013698630136989</v>
      </c>
      <c r="M55" t="s">
        <v>201</v>
      </c>
      <c r="N55">
        <v>2020</v>
      </c>
    </row>
    <row r="56" spans="1:14" x14ac:dyDescent="0.25">
      <c r="A56" t="s">
        <v>329</v>
      </c>
      <c r="B56" t="s">
        <v>742</v>
      </c>
      <c r="C56" t="s">
        <v>330</v>
      </c>
      <c r="D56" t="s">
        <v>204</v>
      </c>
      <c r="E56" t="s">
        <v>214</v>
      </c>
      <c r="F56">
        <v>116767.63</v>
      </c>
      <c r="G56" t="s">
        <v>198</v>
      </c>
      <c r="H56" s="5">
        <v>43949</v>
      </c>
      <c r="I56">
        <v>0.4</v>
      </c>
      <c r="J56" t="s">
        <v>243</v>
      </c>
      <c r="K56" t="s">
        <v>249</v>
      </c>
      <c r="L56">
        <v>5.6547945205479451</v>
      </c>
      <c r="M56" t="s">
        <v>208</v>
      </c>
      <c r="N56">
        <v>2020</v>
      </c>
    </row>
    <row r="57" spans="1:14" x14ac:dyDescent="0.25">
      <c r="A57" t="s">
        <v>331</v>
      </c>
      <c r="B57" t="s">
        <v>743</v>
      </c>
      <c r="C57" t="s">
        <v>332</v>
      </c>
      <c r="D57" t="s">
        <v>196</v>
      </c>
      <c r="E57" t="s">
        <v>697</v>
      </c>
      <c r="F57">
        <v>85455.53</v>
      </c>
      <c r="G57" t="s">
        <v>206</v>
      </c>
      <c r="H57" s="5">
        <v>43839</v>
      </c>
      <c r="I57">
        <v>1</v>
      </c>
      <c r="J57" t="s">
        <v>199</v>
      </c>
      <c r="K57" t="s">
        <v>221</v>
      </c>
      <c r="L57">
        <v>5.956164383561644</v>
      </c>
      <c r="M57" t="s">
        <v>201</v>
      </c>
      <c r="N57">
        <v>2020</v>
      </c>
    </row>
    <row r="58" spans="1:14" x14ac:dyDescent="0.25">
      <c r="A58" t="s">
        <v>333</v>
      </c>
      <c r="B58" t="s">
        <v>744</v>
      </c>
      <c r="C58" t="s">
        <v>334</v>
      </c>
      <c r="D58" t="s">
        <v>204</v>
      </c>
      <c r="E58" t="s">
        <v>697</v>
      </c>
      <c r="F58">
        <v>39700.82</v>
      </c>
      <c r="G58" t="s">
        <v>235</v>
      </c>
      <c r="H58" s="5">
        <v>44203</v>
      </c>
      <c r="I58">
        <v>0.8</v>
      </c>
      <c r="J58" t="s">
        <v>199</v>
      </c>
      <c r="K58" t="s">
        <v>249</v>
      </c>
      <c r="L58">
        <v>4.9589041095890414</v>
      </c>
      <c r="M58" t="s">
        <v>208</v>
      </c>
      <c r="N58">
        <v>2021</v>
      </c>
    </row>
    <row r="59" spans="1:14" x14ac:dyDescent="0.25">
      <c r="A59" t="s">
        <v>335</v>
      </c>
      <c r="B59" t="s">
        <v>745</v>
      </c>
      <c r="C59" t="s">
        <v>336</v>
      </c>
      <c r="D59" t="s">
        <v>204</v>
      </c>
      <c r="E59" t="s">
        <v>277</v>
      </c>
      <c r="F59">
        <v>38438.239999999998</v>
      </c>
      <c r="G59" t="s">
        <v>235</v>
      </c>
      <c r="H59" s="5">
        <v>43962</v>
      </c>
      <c r="I59">
        <v>1</v>
      </c>
      <c r="J59" t="s">
        <v>199</v>
      </c>
      <c r="K59" t="s">
        <v>249</v>
      </c>
      <c r="L59">
        <v>5.6191780821917812</v>
      </c>
      <c r="M59" t="s">
        <v>201</v>
      </c>
      <c r="N59">
        <v>2020</v>
      </c>
    </row>
    <row r="60" spans="1:14" x14ac:dyDescent="0.25">
      <c r="A60" t="s">
        <v>337</v>
      </c>
      <c r="B60" t="s">
        <v>746</v>
      </c>
      <c r="C60" t="s">
        <v>338</v>
      </c>
      <c r="D60" t="s">
        <v>196</v>
      </c>
      <c r="E60" t="s">
        <v>197</v>
      </c>
      <c r="F60">
        <v>50855.53</v>
      </c>
      <c r="G60" t="s">
        <v>206</v>
      </c>
      <c r="H60" s="5">
        <v>44221</v>
      </c>
      <c r="I60">
        <v>1</v>
      </c>
      <c r="J60" t="s">
        <v>199</v>
      </c>
      <c r="K60" t="s">
        <v>221</v>
      </c>
      <c r="L60">
        <v>4.9095890410958907</v>
      </c>
      <c r="M60" t="s">
        <v>201</v>
      </c>
      <c r="N60">
        <v>2021</v>
      </c>
    </row>
    <row r="61" spans="1:14" x14ac:dyDescent="0.25">
      <c r="A61" t="s">
        <v>339</v>
      </c>
      <c r="B61" t="s">
        <v>747</v>
      </c>
      <c r="C61" t="s">
        <v>340</v>
      </c>
      <c r="D61" t="s">
        <v>196</v>
      </c>
      <c r="E61" t="s">
        <v>228</v>
      </c>
      <c r="F61">
        <v>37362.300000000003</v>
      </c>
      <c r="G61" t="s">
        <v>235</v>
      </c>
      <c r="H61" s="5">
        <v>43642</v>
      </c>
      <c r="I61">
        <v>1</v>
      </c>
      <c r="J61" t="s">
        <v>199</v>
      </c>
      <c r="K61" t="s">
        <v>244</v>
      </c>
      <c r="L61">
        <v>6.4958904109589044</v>
      </c>
      <c r="M61" t="s">
        <v>201</v>
      </c>
      <c r="N61">
        <v>2019</v>
      </c>
    </row>
    <row r="62" spans="1:14" x14ac:dyDescent="0.25">
      <c r="A62" t="s">
        <v>341</v>
      </c>
      <c r="B62" t="s">
        <v>748</v>
      </c>
      <c r="C62" t="s">
        <v>342</v>
      </c>
      <c r="D62" t="s">
        <v>196</v>
      </c>
      <c r="E62" t="s">
        <v>258</v>
      </c>
      <c r="F62">
        <v>72876.91</v>
      </c>
      <c r="G62" t="s">
        <v>206</v>
      </c>
      <c r="H62" s="5">
        <v>43612</v>
      </c>
      <c r="I62">
        <v>0.4</v>
      </c>
      <c r="J62" t="s">
        <v>215</v>
      </c>
      <c r="K62" t="s">
        <v>244</v>
      </c>
      <c r="L62">
        <v>6.5780821917808217</v>
      </c>
      <c r="M62" t="s">
        <v>208</v>
      </c>
      <c r="N62">
        <v>2019</v>
      </c>
    </row>
    <row r="63" spans="1:14" x14ac:dyDescent="0.25">
      <c r="A63" t="s">
        <v>343</v>
      </c>
      <c r="B63" t="s">
        <v>749</v>
      </c>
      <c r="C63" t="s">
        <v>344</v>
      </c>
      <c r="D63" t="s">
        <v>204</v>
      </c>
      <c r="E63" t="s">
        <v>282</v>
      </c>
      <c r="F63">
        <v>31042.51</v>
      </c>
      <c r="G63" t="s">
        <v>235</v>
      </c>
      <c r="H63" s="5">
        <v>44473</v>
      </c>
      <c r="I63">
        <v>0.3</v>
      </c>
      <c r="J63" t="s">
        <v>215</v>
      </c>
      <c r="K63" t="s">
        <v>200</v>
      </c>
      <c r="L63">
        <v>4.2191780821917808</v>
      </c>
      <c r="M63" t="s">
        <v>208</v>
      </c>
      <c r="N63">
        <v>2021</v>
      </c>
    </row>
    <row r="64" spans="1:14" x14ac:dyDescent="0.25">
      <c r="A64" t="s">
        <v>345</v>
      </c>
      <c r="B64" t="s">
        <v>750</v>
      </c>
      <c r="C64" t="s">
        <v>346</v>
      </c>
      <c r="D64" t="s">
        <v>204</v>
      </c>
      <c r="E64" t="s">
        <v>282</v>
      </c>
      <c r="F64">
        <v>63705.4</v>
      </c>
      <c r="G64" t="s">
        <v>206</v>
      </c>
      <c r="H64" s="5">
        <v>43682</v>
      </c>
      <c r="I64">
        <v>1</v>
      </c>
      <c r="J64" t="s">
        <v>199</v>
      </c>
      <c r="K64" t="s">
        <v>218</v>
      </c>
      <c r="L64">
        <v>6.3863013698630136</v>
      </c>
      <c r="M64" t="s">
        <v>201</v>
      </c>
      <c r="N64">
        <v>2019</v>
      </c>
    </row>
    <row r="65" spans="1:14" x14ac:dyDescent="0.25">
      <c r="A65" t="s">
        <v>347</v>
      </c>
      <c r="B65" t="s">
        <v>751</v>
      </c>
      <c r="C65" t="s">
        <v>348</v>
      </c>
      <c r="D65" t="s">
        <v>204</v>
      </c>
      <c r="E65" t="s">
        <v>697</v>
      </c>
      <c r="F65">
        <v>59434.18</v>
      </c>
      <c r="G65" t="s">
        <v>206</v>
      </c>
      <c r="H65" s="5">
        <v>43931</v>
      </c>
      <c r="I65">
        <v>1</v>
      </c>
      <c r="J65" t="s">
        <v>243</v>
      </c>
      <c r="K65" t="s">
        <v>207</v>
      </c>
      <c r="L65">
        <v>5.7041095890410958</v>
      </c>
      <c r="M65" t="s">
        <v>201</v>
      </c>
      <c r="N65">
        <v>2020</v>
      </c>
    </row>
    <row r="66" spans="1:14" x14ac:dyDescent="0.25">
      <c r="A66" t="s">
        <v>349</v>
      </c>
      <c r="B66" t="s">
        <v>752</v>
      </c>
      <c r="C66" t="s">
        <v>350</v>
      </c>
      <c r="D66" t="s">
        <v>204</v>
      </c>
      <c r="E66" t="s">
        <v>264</v>
      </c>
      <c r="F66">
        <v>84762.76</v>
      </c>
      <c r="G66" t="s">
        <v>206</v>
      </c>
      <c r="H66" s="5">
        <v>43332</v>
      </c>
      <c r="I66">
        <v>1</v>
      </c>
      <c r="J66" t="s">
        <v>199</v>
      </c>
      <c r="K66" t="s">
        <v>218</v>
      </c>
      <c r="L66">
        <v>7.3452054794520549</v>
      </c>
      <c r="M66" t="s">
        <v>201</v>
      </c>
      <c r="N66">
        <v>2018</v>
      </c>
    </row>
    <row r="67" spans="1:14" x14ac:dyDescent="0.25">
      <c r="A67" t="s">
        <v>351</v>
      </c>
      <c r="B67" t="s">
        <v>753</v>
      </c>
      <c r="C67" t="s">
        <v>352</v>
      </c>
      <c r="D67" t="s">
        <v>204</v>
      </c>
      <c r="E67" t="s">
        <v>211</v>
      </c>
      <c r="F67">
        <v>69057.320000000007</v>
      </c>
      <c r="G67" t="s">
        <v>206</v>
      </c>
      <c r="H67" s="5">
        <v>43390</v>
      </c>
      <c r="I67">
        <v>1</v>
      </c>
      <c r="J67" t="s">
        <v>199</v>
      </c>
      <c r="K67" t="s">
        <v>221</v>
      </c>
      <c r="L67">
        <v>7.1863013698630134</v>
      </c>
      <c r="M67" t="s">
        <v>201</v>
      </c>
      <c r="N67">
        <v>2018</v>
      </c>
    </row>
    <row r="68" spans="1:14" x14ac:dyDescent="0.25">
      <c r="A68" t="s">
        <v>353</v>
      </c>
      <c r="B68" t="s">
        <v>754</v>
      </c>
      <c r="C68" t="s">
        <v>354</v>
      </c>
      <c r="D68" t="s">
        <v>224</v>
      </c>
      <c r="E68" t="s">
        <v>258</v>
      </c>
      <c r="F68">
        <v>99448.78</v>
      </c>
      <c r="G68" t="s">
        <v>206</v>
      </c>
      <c r="H68" s="5">
        <v>43473</v>
      </c>
      <c r="I68">
        <v>1</v>
      </c>
      <c r="J68" t="s">
        <v>215</v>
      </c>
      <c r="K68" t="s">
        <v>221</v>
      </c>
      <c r="L68">
        <v>6.9589041095890414</v>
      </c>
      <c r="M68" t="s">
        <v>201</v>
      </c>
      <c r="N68">
        <v>2019</v>
      </c>
    </row>
    <row r="69" spans="1:14" x14ac:dyDescent="0.25">
      <c r="A69" t="s">
        <v>355</v>
      </c>
      <c r="B69" t="s">
        <v>755</v>
      </c>
      <c r="C69" t="s">
        <v>356</v>
      </c>
      <c r="D69" t="s">
        <v>204</v>
      </c>
      <c r="E69" t="s">
        <v>277</v>
      </c>
      <c r="F69">
        <v>66865.490000000005</v>
      </c>
      <c r="G69" t="s">
        <v>206</v>
      </c>
      <c r="H69" s="5">
        <v>43514</v>
      </c>
      <c r="I69">
        <v>1</v>
      </c>
      <c r="J69" t="s">
        <v>199</v>
      </c>
      <c r="K69" t="s">
        <v>207</v>
      </c>
      <c r="L69">
        <v>6.8465753424657532</v>
      </c>
      <c r="M69" t="s">
        <v>201</v>
      </c>
      <c r="N69">
        <v>2019</v>
      </c>
    </row>
    <row r="70" spans="1:14" x14ac:dyDescent="0.25">
      <c r="A70" t="s">
        <v>357</v>
      </c>
      <c r="B70" t="s">
        <v>756</v>
      </c>
      <c r="C70" t="s">
        <v>358</v>
      </c>
      <c r="D70" t="s">
        <v>196</v>
      </c>
      <c r="E70" t="s">
        <v>282</v>
      </c>
      <c r="F70">
        <v>113747.56</v>
      </c>
      <c r="G70" t="s">
        <v>198</v>
      </c>
      <c r="H70" s="5">
        <v>44270</v>
      </c>
      <c r="I70">
        <v>0.7</v>
      </c>
      <c r="J70" t="s">
        <v>243</v>
      </c>
      <c r="K70" t="s">
        <v>240</v>
      </c>
      <c r="L70">
        <v>4.7753424657534245</v>
      </c>
      <c r="M70" t="s">
        <v>208</v>
      </c>
      <c r="N70">
        <v>2021</v>
      </c>
    </row>
    <row r="71" spans="1:14" x14ac:dyDescent="0.25">
      <c r="A71" t="s">
        <v>359</v>
      </c>
      <c r="B71" t="s">
        <v>757</v>
      </c>
      <c r="C71" t="s">
        <v>360</v>
      </c>
      <c r="D71" t="s">
        <v>196</v>
      </c>
      <c r="E71" t="s">
        <v>205</v>
      </c>
      <c r="F71">
        <v>85918.61</v>
      </c>
      <c r="G71" t="s">
        <v>206</v>
      </c>
      <c r="H71" s="5">
        <v>43136</v>
      </c>
      <c r="I71">
        <v>1</v>
      </c>
      <c r="J71" t="s">
        <v>199</v>
      </c>
      <c r="K71" t="s">
        <v>240</v>
      </c>
      <c r="L71">
        <v>7.882191780821918</v>
      </c>
      <c r="M71" t="s">
        <v>201</v>
      </c>
      <c r="N71">
        <v>2018</v>
      </c>
    </row>
    <row r="72" spans="1:14" x14ac:dyDescent="0.25">
      <c r="A72" t="s">
        <v>361</v>
      </c>
      <c r="B72" t="s">
        <v>758</v>
      </c>
      <c r="C72" t="s">
        <v>362</v>
      </c>
      <c r="D72" t="s">
        <v>204</v>
      </c>
      <c r="E72" t="s">
        <v>197</v>
      </c>
      <c r="F72">
        <v>51165.37</v>
      </c>
      <c r="G72" t="s">
        <v>206</v>
      </c>
      <c r="H72" s="5">
        <v>44237</v>
      </c>
      <c r="I72">
        <v>1</v>
      </c>
      <c r="J72" t="s">
        <v>215</v>
      </c>
      <c r="K72" t="s">
        <v>218</v>
      </c>
      <c r="L72">
        <v>4.8657534246575347</v>
      </c>
      <c r="M72" t="s">
        <v>201</v>
      </c>
      <c r="N72">
        <v>2021</v>
      </c>
    </row>
    <row r="73" spans="1:14" x14ac:dyDescent="0.25">
      <c r="A73" t="s">
        <v>363</v>
      </c>
      <c r="B73" t="s">
        <v>759</v>
      </c>
      <c r="C73" t="s">
        <v>364</v>
      </c>
      <c r="D73" t="s">
        <v>224</v>
      </c>
      <c r="E73" t="s">
        <v>258</v>
      </c>
      <c r="F73">
        <v>67957.899999999994</v>
      </c>
      <c r="G73" t="s">
        <v>206</v>
      </c>
      <c r="H73" s="5">
        <v>43430</v>
      </c>
      <c r="I73">
        <v>1</v>
      </c>
      <c r="J73" t="s">
        <v>199</v>
      </c>
      <c r="K73" t="s">
        <v>249</v>
      </c>
      <c r="L73">
        <v>7.0767123287671234</v>
      </c>
      <c r="M73" t="s">
        <v>201</v>
      </c>
      <c r="N73">
        <v>2018</v>
      </c>
    </row>
    <row r="74" spans="1:14" x14ac:dyDescent="0.25">
      <c r="A74" t="s">
        <v>365</v>
      </c>
      <c r="B74" t="s">
        <v>760</v>
      </c>
      <c r="C74" t="s">
        <v>366</v>
      </c>
      <c r="D74" t="s">
        <v>196</v>
      </c>
      <c r="E74" t="s">
        <v>197</v>
      </c>
      <c r="F74">
        <v>114465.93</v>
      </c>
      <c r="G74" t="s">
        <v>198</v>
      </c>
      <c r="H74" s="5">
        <v>43291</v>
      </c>
      <c r="I74">
        <v>1</v>
      </c>
      <c r="J74" t="s">
        <v>243</v>
      </c>
      <c r="K74" t="s">
        <v>221</v>
      </c>
      <c r="L74">
        <v>7.4575342465753423</v>
      </c>
      <c r="M74" t="s">
        <v>201</v>
      </c>
      <c r="N74">
        <v>2018</v>
      </c>
    </row>
    <row r="75" spans="1:14" x14ac:dyDescent="0.25">
      <c r="A75" t="s">
        <v>367</v>
      </c>
      <c r="B75" t="s">
        <v>761</v>
      </c>
      <c r="C75" t="s">
        <v>368</v>
      </c>
      <c r="D75" t="s">
        <v>196</v>
      </c>
      <c r="E75" t="s">
        <v>228</v>
      </c>
      <c r="F75">
        <v>65699.02</v>
      </c>
      <c r="G75" t="s">
        <v>206</v>
      </c>
      <c r="H75" s="5">
        <v>43951</v>
      </c>
      <c r="I75">
        <v>1</v>
      </c>
      <c r="J75" t="s">
        <v>199</v>
      </c>
      <c r="K75" t="s">
        <v>240</v>
      </c>
      <c r="L75">
        <v>5.6493150684931503</v>
      </c>
      <c r="M75" t="s">
        <v>201</v>
      </c>
      <c r="N75">
        <v>2020</v>
      </c>
    </row>
    <row r="76" spans="1:14" x14ac:dyDescent="0.25">
      <c r="A76" t="s">
        <v>369</v>
      </c>
      <c r="B76" t="s">
        <v>762</v>
      </c>
      <c r="C76" t="s">
        <v>370</v>
      </c>
      <c r="D76" t="s">
        <v>196</v>
      </c>
      <c r="E76" t="s">
        <v>264</v>
      </c>
      <c r="F76">
        <v>83191.95</v>
      </c>
      <c r="G76" t="s">
        <v>206</v>
      </c>
      <c r="H76" s="5">
        <v>43700</v>
      </c>
      <c r="I76">
        <v>0.6</v>
      </c>
      <c r="J76" t="s">
        <v>243</v>
      </c>
      <c r="K76" t="s">
        <v>200</v>
      </c>
      <c r="L76">
        <v>6.3369863013698629</v>
      </c>
      <c r="M76" t="s">
        <v>208</v>
      </c>
      <c r="N76">
        <v>2019</v>
      </c>
    </row>
    <row r="77" spans="1:14" x14ac:dyDescent="0.25">
      <c r="A77" t="s">
        <v>371</v>
      </c>
      <c r="B77" t="s">
        <v>763</v>
      </c>
      <c r="C77" t="s">
        <v>372</v>
      </c>
      <c r="D77" t="s">
        <v>196</v>
      </c>
      <c r="E77" t="s">
        <v>277</v>
      </c>
      <c r="F77">
        <v>106775.14</v>
      </c>
      <c r="G77" t="s">
        <v>198</v>
      </c>
      <c r="H77" s="5">
        <v>43563</v>
      </c>
      <c r="I77">
        <v>1</v>
      </c>
      <c r="J77" t="s">
        <v>215</v>
      </c>
      <c r="K77" t="s">
        <v>218</v>
      </c>
      <c r="L77">
        <v>6.7123287671232879</v>
      </c>
      <c r="M77" t="s">
        <v>201</v>
      </c>
      <c r="N77">
        <v>2019</v>
      </c>
    </row>
    <row r="78" spans="1:14" x14ac:dyDescent="0.25">
      <c r="A78" t="s">
        <v>373</v>
      </c>
      <c r="B78" t="s">
        <v>764</v>
      </c>
      <c r="C78" t="s">
        <v>374</v>
      </c>
      <c r="D78" t="s">
        <v>196</v>
      </c>
      <c r="E78" t="s">
        <v>258</v>
      </c>
      <c r="F78">
        <v>83396.5</v>
      </c>
      <c r="G78" t="s">
        <v>206</v>
      </c>
      <c r="H78" s="5">
        <v>44285</v>
      </c>
      <c r="I78">
        <v>1</v>
      </c>
      <c r="J78" t="s">
        <v>243</v>
      </c>
      <c r="K78" t="s">
        <v>244</v>
      </c>
      <c r="L78">
        <v>4.7342465753424658</v>
      </c>
      <c r="M78" t="s">
        <v>201</v>
      </c>
      <c r="N78">
        <v>2021</v>
      </c>
    </row>
    <row r="79" spans="1:14" x14ac:dyDescent="0.25">
      <c r="A79" t="s">
        <v>375</v>
      </c>
      <c r="B79" t="s">
        <v>765</v>
      </c>
      <c r="C79" t="s">
        <v>376</v>
      </c>
      <c r="D79" t="s">
        <v>196</v>
      </c>
      <c r="E79" t="s">
        <v>282</v>
      </c>
      <c r="F79">
        <v>28481.16</v>
      </c>
      <c r="G79" t="s">
        <v>235</v>
      </c>
      <c r="H79" s="5">
        <v>44228</v>
      </c>
      <c r="I79">
        <v>1</v>
      </c>
      <c r="J79" t="s">
        <v>243</v>
      </c>
      <c r="K79" t="s">
        <v>249</v>
      </c>
      <c r="L79">
        <v>4.8904109589041092</v>
      </c>
      <c r="M79" t="s">
        <v>201</v>
      </c>
      <c r="N79">
        <v>2021</v>
      </c>
    </row>
    <row r="80" spans="1:14" x14ac:dyDescent="0.25">
      <c r="A80" t="s">
        <v>377</v>
      </c>
      <c r="B80" t="s">
        <v>766</v>
      </c>
      <c r="C80" t="s">
        <v>378</v>
      </c>
      <c r="D80" t="s">
        <v>196</v>
      </c>
      <c r="E80" t="s">
        <v>264</v>
      </c>
      <c r="F80">
        <v>32192.15</v>
      </c>
      <c r="G80" t="s">
        <v>235</v>
      </c>
      <c r="H80" s="5">
        <v>44473</v>
      </c>
      <c r="I80">
        <v>1</v>
      </c>
      <c r="J80" t="s">
        <v>199</v>
      </c>
      <c r="K80" t="s">
        <v>218</v>
      </c>
      <c r="L80">
        <v>4.2191780821917808</v>
      </c>
      <c r="M80" t="s">
        <v>201</v>
      </c>
      <c r="N80">
        <v>2021</v>
      </c>
    </row>
    <row r="81" spans="1:14" x14ac:dyDescent="0.25">
      <c r="A81" t="s">
        <v>379</v>
      </c>
      <c r="B81" t="s">
        <v>767</v>
      </c>
      <c r="C81" t="s">
        <v>380</v>
      </c>
      <c r="D81" t="s">
        <v>196</v>
      </c>
      <c r="E81" t="s">
        <v>197</v>
      </c>
      <c r="F81">
        <v>112645.99</v>
      </c>
      <c r="G81" t="s">
        <v>198</v>
      </c>
      <c r="H81" s="5">
        <v>43759</v>
      </c>
      <c r="I81">
        <v>0.6</v>
      </c>
      <c r="J81" t="s">
        <v>199</v>
      </c>
      <c r="K81" t="s">
        <v>207</v>
      </c>
      <c r="L81">
        <v>6.1753424657534248</v>
      </c>
      <c r="M81" t="s">
        <v>208</v>
      </c>
      <c r="N81">
        <v>2019</v>
      </c>
    </row>
    <row r="82" spans="1:14" x14ac:dyDescent="0.25">
      <c r="A82" t="s">
        <v>381</v>
      </c>
      <c r="B82" t="s">
        <v>768</v>
      </c>
      <c r="C82" t="s">
        <v>382</v>
      </c>
      <c r="D82" t="s">
        <v>224</v>
      </c>
      <c r="E82" t="s">
        <v>261</v>
      </c>
      <c r="F82">
        <v>107107.6</v>
      </c>
      <c r="G82" t="s">
        <v>198</v>
      </c>
      <c r="H82" s="5">
        <v>43325</v>
      </c>
      <c r="I82">
        <v>0.9</v>
      </c>
      <c r="J82" t="s">
        <v>199</v>
      </c>
      <c r="K82" t="s">
        <v>249</v>
      </c>
      <c r="L82">
        <v>7.3643835616438356</v>
      </c>
      <c r="M82" t="s">
        <v>208</v>
      </c>
      <c r="N82">
        <v>2018</v>
      </c>
    </row>
    <row r="83" spans="1:14" x14ac:dyDescent="0.25">
      <c r="A83" t="s">
        <v>383</v>
      </c>
      <c r="B83" t="s">
        <v>769</v>
      </c>
      <c r="C83" t="s">
        <v>384</v>
      </c>
      <c r="D83" t="s">
        <v>204</v>
      </c>
      <c r="E83" t="s">
        <v>205</v>
      </c>
      <c r="F83">
        <v>80695.740000000005</v>
      </c>
      <c r="G83" t="s">
        <v>206</v>
      </c>
      <c r="H83" s="5">
        <v>43787</v>
      </c>
      <c r="I83">
        <v>0.8</v>
      </c>
      <c r="J83" t="s">
        <v>199</v>
      </c>
      <c r="K83" t="s">
        <v>240</v>
      </c>
      <c r="L83">
        <v>6.0986301369863014</v>
      </c>
      <c r="M83" t="s">
        <v>208</v>
      </c>
      <c r="N83">
        <v>2019</v>
      </c>
    </row>
    <row r="84" spans="1:14" x14ac:dyDescent="0.25">
      <c r="A84" t="s">
        <v>385</v>
      </c>
      <c r="B84" t="s">
        <v>770</v>
      </c>
      <c r="C84" t="s">
        <v>386</v>
      </c>
      <c r="D84" t="s">
        <v>204</v>
      </c>
      <c r="E84" t="s">
        <v>277</v>
      </c>
      <c r="F84">
        <v>75475.929999999993</v>
      </c>
      <c r="G84" t="s">
        <v>206</v>
      </c>
      <c r="H84" s="5">
        <v>43794</v>
      </c>
      <c r="I84">
        <v>1</v>
      </c>
      <c r="J84" t="s">
        <v>199</v>
      </c>
      <c r="K84" t="s">
        <v>200</v>
      </c>
      <c r="L84">
        <v>6.0794520547945208</v>
      </c>
      <c r="M84" t="s">
        <v>201</v>
      </c>
      <c r="N84">
        <v>2019</v>
      </c>
    </row>
    <row r="85" spans="1:14" x14ac:dyDescent="0.25">
      <c r="A85" t="s">
        <v>387</v>
      </c>
      <c r="B85" t="s">
        <v>771</v>
      </c>
      <c r="C85" t="s">
        <v>388</v>
      </c>
      <c r="D85" t="s">
        <v>204</v>
      </c>
      <c r="E85" t="s">
        <v>205</v>
      </c>
      <c r="F85">
        <v>86558.58</v>
      </c>
      <c r="G85" t="s">
        <v>206</v>
      </c>
      <c r="H85" s="5">
        <v>43887</v>
      </c>
      <c r="I85">
        <v>1</v>
      </c>
      <c r="J85" t="s">
        <v>215</v>
      </c>
      <c r="K85" t="s">
        <v>200</v>
      </c>
      <c r="L85">
        <v>5.8246575342465752</v>
      </c>
      <c r="M85" t="s">
        <v>201</v>
      </c>
      <c r="N85">
        <v>2020</v>
      </c>
    </row>
    <row r="86" spans="1:14" x14ac:dyDescent="0.25">
      <c r="A86" t="s">
        <v>389</v>
      </c>
      <c r="B86" t="s">
        <v>772</v>
      </c>
      <c r="C86" t="s">
        <v>390</v>
      </c>
      <c r="D86" t="s">
        <v>204</v>
      </c>
      <c r="E86" t="s">
        <v>697</v>
      </c>
      <c r="F86">
        <v>84309.95</v>
      </c>
      <c r="G86" t="s">
        <v>206</v>
      </c>
      <c r="H86" s="5">
        <v>44501</v>
      </c>
      <c r="I86">
        <v>1</v>
      </c>
      <c r="J86" t="s">
        <v>199</v>
      </c>
      <c r="K86" t="s">
        <v>200</v>
      </c>
      <c r="L86">
        <v>4.1424657534246574</v>
      </c>
      <c r="M86" t="s">
        <v>201</v>
      </c>
      <c r="N86">
        <v>2021</v>
      </c>
    </row>
    <row r="87" spans="1:14" x14ac:dyDescent="0.25">
      <c r="A87" t="s">
        <v>391</v>
      </c>
      <c r="B87" t="s">
        <v>773</v>
      </c>
      <c r="C87" t="s">
        <v>392</v>
      </c>
      <c r="D87" t="s">
        <v>196</v>
      </c>
      <c r="E87" t="s">
        <v>261</v>
      </c>
      <c r="F87">
        <v>91645.04</v>
      </c>
      <c r="G87" t="s">
        <v>206</v>
      </c>
      <c r="H87" s="5">
        <v>44223</v>
      </c>
      <c r="I87">
        <v>1</v>
      </c>
      <c r="J87" t="s">
        <v>199</v>
      </c>
      <c r="K87" t="s">
        <v>244</v>
      </c>
      <c r="L87">
        <v>4.904109589041096</v>
      </c>
      <c r="M87" t="s">
        <v>201</v>
      </c>
      <c r="N87">
        <v>2021</v>
      </c>
    </row>
    <row r="88" spans="1:14" x14ac:dyDescent="0.25">
      <c r="A88" t="s">
        <v>393</v>
      </c>
      <c r="B88" t="s">
        <v>774</v>
      </c>
      <c r="C88" t="s">
        <v>394</v>
      </c>
      <c r="D88" t="s">
        <v>204</v>
      </c>
      <c r="E88" t="s">
        <v>214</v>
      </c>
      <c r="F88">
        <v>101187.36</v>
      </c>
      <c r="G88" t="s">
        <v>198</v>
      </c>
      <c r="H88" s="5">
        <v>43258</v>
      </c>
      <c r="I88">
        <v>1</v>
      </c>
      <c r="J88" t="s">
        <v>215</v>
      </c>
      <c r="K88" t="s">
        <v>240</v>
      </c>
      <c r="L88">
        <v>7.5479452054794525</v>
      </c>
      <c r="M88" t="s">
        <v>201</v>
      </c>
      <c r="N88">
        <v>2018</v>
      </c>
    </row>
    <row r="89" spans="1:14" x14ac:dyDescent="0.25">
      <c r="A89" t="s">
        <v>307</v>
      </c>
      <c r="B89" t="s">
        <v>731</v>
      </c>
      <c r="C89" t="s">
        <v>308</v>
      </c>
      <c r="D89" t="s">
        <v>196</v>
      </c>
      <c r="E89" t="s">
        <v>205</v>
      </c>
      <c r="F89">
        <v>80169.42</v>
      </c>
      <c r="G89" t="s">
        <v>206</v>
      </c>
      <c r="H89" s="5">
        <v>44053</v>
      </c>
      <c r="I89">
        <v>1</v>
      </c>
      <c r="J89" t="s">
        <v>199</v>
      </c>
      <c r="K89" t="s">
        <v>244</v>
      </c>
      <c r="L89">
        <v>5.3698630136986303</v>
      </c>
      <c r="M89" t="s">
        <v>201</v>
      </c>
      <c r="N89">
        <v>2020</v>
      </c>
    </row>
    <row r="90" spans="1:14" x14ac:dyDescent="0.25">
      <c r="A90" t="s">
        <v>395</v>
      </c>
      <c r="B90" t="s">
        <v>775</v>
      </c>
      <c r="C90" t="s">
        <v>396</v>
      </c>
      <c r="D90" t="s">
        <v>204</v>
      </c>
      <c r="E90" t="s">
        <v>225</v>
      </c>
      <c r="F90">
        <v>104038.9</v>
      </c>
      <c r="G90" t="s">
        <v>198</v>
      </c>
      <c r="H90" s="5">
        <v>43815</v>
      </c>
      <c r="I90">
        <v>1</v>
      </c>
      <c r="J90" t="s">
        <v>215</v>
      </c>
      <c r="K90" t="s">
        <v>200</v>
      </c>
      <c r="L90">
        <v>6.021917808219178</v>
      </c>
      <c r="M90" t="s">
        <v>201</v>
      </c>
      <c r="N90">
        <v>2019</v>
      </c>
    </row>
    <row r="91" spans="1:14" x14ac:dyDescent="0.25">
      <c r="A91" t="s">
        <v>397</v>
      </c>
      <c r="B91" t="s">
        <v>776</v>
      </c>
      <c r="C91" t="s">
        <v>398</v>
      </c>
      <c r="D91" t="s">
        <v>204</v>
      </c>
      <c r="E91" t="s">
        <v>697</v>
      </c>
      <c r="F91">
        <v>99683.67</v>
      </c>
      <c r="G91" t="s">
        <v>206</v>
      </c>
      <c r="H91" s="5">
        <v>43500</v>
      </c>
      <c r="I91">
        <v>1</v>
      </c>
      <c r="J91" t="s">
        <v>215</v>
      </c>
      <c r="K91" t="s">
        <v>207</v>
      </c>
      <c r="L91">
        <v>6.8849315068493153</v>
      </c>
      <c r="M91" t="s">
        <v>201</v>
      </c>
      <c r="N91">
        <v>2019</v>
      </c>
    </row>
    <row r="92" spans="1:14" x14ac:dyDescent="0.25">
      <c r="A92" t="s">
        <v>399</v>
      </c>
      <c r="B92" t="s">
        <v>777</v>
      </c>
      <c r="C92" t="s">
        <v>400</v>
      </c>
      <c r="D92" t="s">
        <v>196</v>
      </c>
      <c r="E92" t="s">
        <v>197</v>
      </c>
      <c r="F92">
        <v>47362.62</v>
      </c>
      <c r="G92" t="s">
        <v>235</v>
      </c>
      <c r="H92" s="5">
        <v>43973</v>
      </c>
      <c r="I92">
        <v>1</v>
      </c>
      <c r="J92" t="s">
        <v>243</v>
      </c>
      <c r="K92" t="s">
        <v>200</v>
      </c>
      <c r="L92">
        <v>5.5890410958904111</v>
      </c>
      <c r="M92" t="s">
        <v>201</v>
      </c>
      <c r="N92">
        <v>2020</v>
      </c>
    </row>
    <row r="93" spans="1:14" x14ac:dyDescent="0.25">
      <c r="A93" t="s">
        <v>401</v>
      </c>
      <c r="B93" t="s">
        <v>778</v>
      </c>
      <c r="C93" t="s">
        <v>402</v>
      </c>
      <c r="D93" t="s">
        <v>204</v>
      </c>
      <c r="E93" t="s">
        <v>205</v>
      </c>
      <c r="F93">
        <v>70649.460000000006</v>
      </c>
      <c r="G93" t="s">
        <v>206</v>
      </c>
      <c r="H93" s="5">
        <v>43843</v>
      </c>
      <c r="I93">
        <v>1</v>
      </c>
      <c r="J93" t="s">
        <v>199</v>
      </c>
      <c r="K93" t="s">
        <v>218</v>
      </c>
      <c r="L93">
        <v>5.9452054794520546</v>
      </c>
      <c r="M93" t="s">
        <v>201</v>
      </c>
      <c r="N93">
        <v>2020</v>
      </c>
    </row>
    <row r="94" spans="1:14" x14ac:dyDescent="0.25">
      <c r="A94" t="s">
        <v>403</v>
      </c>
      <c r="B94" t="s">
        <v>779</v>
      </c>
      <c r="C94" t="s">
        <v>404</v>
      </c>
      <c r="D94" t="s">
        <v>204</v>
      </c>
      <c r="E94" t="s">
        <v>282</v>
      </c>
      <c r="F94">
        <v>75733.740000000005</v>
      </c>
      <c r="G94" t="s">
        <v>206</v>
      </c>
      <c r="H94" s="5">
        <v>44382</v>
      </c>
      <c r="I94">
        <v>1</v>
      </c>
      <c r="J94" t="s">
        <v>199</v>
      </c>
      <c r="K94" t="s">
        <v>218</v>
      </c>
      <c r="L94">
        <v>4.4684931506849317</v>
      </c>
      <c r="M94" t="s">
        <v>201</v>
      </c>
      <c r="N94">
        <v>2021</v>
      </c>
    </row>
    <row r="95" spans="1:14" x14ac:dyDescent="0.25">
      <c r="A95" t="s">
        <v>405</v>
      </c>
      <c r="B95" t="s">
        <v>780</v>
      </c>
      <c r="C95" t="s">
        <v>406</v>
      </c>
      <c r="D95" t="s">
        <v>204</v>
      </c>
      <c r="E95" t="s">
        <v>261</v>
      </c>
      <c r="F95">
        <v>71823.56</v>
      </c>
      <c r="G95" t="s">
        <v>206</v>
      </c>
      <c r="H95" s="5">
        <v>43374</v>
      </c>
      <c r="I95">
        <v>0.3</v>
      </c>
      <c r="J95" t="s">
        <v>243</v>
      </c>
      <c r="K95" t="s">
        <v>200</v>
      </c>
      <c r="L95">
        <v>7.2301369863013702</v>
      </c>
      <c r="M95" t="s">
        <v>208</v>
      </c>
      <c r="N95">
        <v>2018</v>
      </c>
    </row>
    <row r="96" spans="1:14" x14ac:dyDescent="0.25">
      <c r="A96" t="s">
        <v>407</v>
      </c>
      <c r="B96" t="s">
        <v>781</v>
      </c>
      <c r="C96" t="s">
        <v>408</v>
      </c>
      <c r="D96" t="s">
        <v>204</v>
      </c>
      <c r="E96" t="s">
        <v>264</v>
      </c>
      <c r="F96">
        <v>41934.71</v>
      </c>
      <c r="G96" t="s">
        <v>235</v>
      </c>
      <c r="H96" s="5">
        <v>43943</v>
      </c>
      <c r="I96">
        <v>1</v>
      </c>
      <c r="J96" t="s">
        <v>199</v>
      </c>
      <c r="K96" t="s">
        <v>200</v>
      </c>
      <c r="L96">
        <v>5.6712328767123283</v>
      </c>
      <c r="M96" t="s">
        <v>201</v>
      </c>
      <c r="N96">
        <v>2020</v>
      </c>
    </row>
    <row r="97" spans="1:14" x14ac:dyDescent="0.25">
      <c r="A97" t="s">
        <v>409</v>
      </c>
      <c r="B97" t="s">
        <v>782</v>
      </c>
      <c r="C97" t="s">
        <v>410</v>
      </c>
      <c r="D97" t="s">
        <v>196</v>
      </c>
      <c r="E97" t="s">
        <v>282</v>
      </c>
      <c r="F97">
        <v>66572.58</v>
      </c>
      <c r="G97" t="s">
        <v>206</v>
      </c>
      <c r="H97" s="5">
        <v>44193</v>
      </c>
      <c r="I97">
        <v>1</v>
      </c>
      <c r="J97" t="s">
        <v>199</v>
      </c>
      <c r="K97" t="s">
        <v>249</v>
      </c>
      <c r="L97">
        <v>4.9863013698630141</v>
      </c>
      <c r="M97" t="s">
        <v>201</v>
      </c>
      <c r="N97">
        <v>2020</v>
      </c>
    </row>
    <row r="98" spans="1:14" x14ac:dyDescent="0.25">
      <c r="A98" t="s">
        <v>411</v>
      </c>
      <c r="B98" t="s">
        <v>783</v>
      </c>
      <c r="C98" t="s">
        <v>412</v>
      </c>
      <c r="D98" t="s">
        <v>196</v>
      </c>
      <c r="E98" t="s">
        <v>228</v>
      </c>
      <c r="F98">
        <v>76932.600000000006</v>
      </c>
      <c r="G98" t="s">
        <v>206</v>
      </c>
      <c r="H98" s="5">
        <v>43493</v>
      </c>
      <c r="I98">
        <v>1</v>
      </c>
      <c r="J98" t="s">
        <v>199</v>
      </c>
      <c r="K98" t="s">
        <v>218</v>
      </c>
      <c r="L98">
        <v>6.904109589041096</v>
      </c>
      <c r="M98" t="s">
        <v>201</v>
      </c>
      <c r="N98">
        <v>2019</v>
      </c>
    </row>
    <row r="99" spans="1:14" x14ac:dyDescent="0.25">
      <c r="A99" t="s">
        <v>413</v>
      </c>
      <c r="B99" t="s">
        <v>784</v>
      </c>
      <c r="C99" t="s">
        <v>414</v>
      </c>
      <c r="D99" t="s">
        <v>196</v>
      </c>
      <c r="E99" t="s">
        <v>225</v>
      </c>
      <c r="F99">
        <v>59258.19</v>
      </c>
      <c r="G99" t="s">
        <v>206</v>
      </c>
      <c r="H99" s="5">
        <v>43452</v>
      </c>
      <c r="I99">
        <v>0.8</v>
      </c>
      <c r="J99" t="s">
        <v>199</v>
      </c>
      <c r="K99" t="s">
        <v>207</v>
      </c>
      <c r="L99">
        <v>7.0164383561643833</v>
      </c>
      <c r="M99" t="s">
        <v>208</v>
      </c>
      <c r="N99">
        <v>2018</v>
      </c>
    </row>
    <row r="100" spans="1:14" x14ac:dyDescent="0.25">
      <c r="A100" t="s">
        <v>415</v>
      </c>
      <c r="B100" t="s">
        <v>785</v>
      </c>
      <c r="C100" t="s">
        <v>416</v>
      </c>
      <c r="D100" t="s">
        <v>196</v>
      </c>
      <c r="E100" t="s">
        <v>214</v>
      </c>
      <c r="F100">
        <v>112778.28</v>
      </c>
      <c r="G100" t="s">
        <v>198</v>
      </c>
      <c r="H100" s="5">
        <v>43250</v>
      </c>
      <c r="I100">
        <v>1</v>
      </c>
      <c r="J100" t="s">
        <v>215</v>
      </c>
      <c r="K100" t="s">
        <v>200</v>
      </c>
      <c r="L100">
        <v>7.5698630136986305</v>
      </c>
      <c r="M100" t="s">
        <v>201</v>
      </c>
      <c r="N100">
        <v>2018</v>
      </c>
    </row>
    <row r="101" spans="1:14" x14ac:dyDescent="0.25">
      <c r="A101" t="s">
        <v>417</v>
      </c>
      <c r="B101" t="s">
        <v>786</v>
      </c>
      <c r="C101" t="s">
        <v>418</v>
      </c>
      <c r="D101" t="s">
        <v>204</v>
      </c>
      <c r="E101" t="s">
        <v>261</v>
      </c>
      <c r="F101">
        <v>44845.33</v>
      </c>
      <c r="G101" t="s">
        <v>235</v>
      </c>
      <c r="H101" s="5">
        <v>43277</v>
      </c>
      <c r="I101">
        <v>1</v>
      </c>
      <c r="J101" t="s">
        <v>199</v>
      </c>
      <c r="K101" t="s">
        <v>207</v>
      </c>
      <c r="L101">
        <v>7.4958904109589044</v>
      </c>
      <c r="M101" t="s">
        <v>201</v>
      </c>
      <c r="N101">
        <v>2018</v>
      </c>
    </row>
    <row r="102" spans="1:14" x14ac:dyDescent="0.25">
      <c r="A102" t="s">
        <v>419</v>
      </c>
      <c r="B102" t="s">
        <v>787</v>
      </c>
      <c r="C102" t="s">
        <v>420</v>
      </c>
      <c r="D102" t="s">
        <v>196</v>
      </c>
      <c r="E102" t="s">
        <v>277</v>
      </c>
      <c r="F102">
        <v>115191.38</v>
      </c>
      <c r="G102" t="s">
        <v>198</v>
      </c>
      <c r="H102" s="5">
        <v>44004</v>
      </c>
      <c r="I102">
        <v>1</v>
      </c>
      <c r="J102" t="s">
        <v>199</v>
      </c>
      <c r="K102" t="s">
        <v>218</v>
      </c>
      <c r="L102">
        <v>5.5041095890410956</v>
      </c>
      <c r="M102" t="s">
        <v>201</v>
      </c>
      <c r="N102">
        <v>2020</v>
      </c>
    </row>
    <row r="103" spans="1:14" x14ac:dyDescent="0.25">
      <c r="A103" t="s">
        <v>421</v>
      </c>
      <c r="B103" t="s">
        <v>788</v>
      </c>
      <c r="C103" t="s">
        <v>422</v>
      </c>
      <c r="D103" t="s">
        <v>204</v>
      </c>
      <c r="E103" t="s">
        <v>282</v>
      </c>
      <c r="F103">
        <v>111049.84</v>
      </c>
      <c r="G103" t="s">
        <v>198</v>
      </c>
      <c r="H103" s="5">
        <v>44393</v>
      </c>
      <c r="I103">
        <v>1</v>
      </c>
      <c r="J103" t="s">
        <v>199</v>
      </c>
      <c r="K103" t="s">
        <v>221</v>
      </c>
      <c r="L103">
        <v>4.4383561643835616</v>
      </c>
      <c r="M103" t="s">
        <v>201</v>
      </c>
      <c r="N103">
        <v>2021</v>
      </c>
    </row>
    <row r="104" spans="1:14" x14ac:dyDescent="0.25">
      <c r="A104" t="s">
        <v>423</v>
      </c>
      <c r="B104" t="s">
        <v>789</v>
      </c>
      <c r="C104" t="s">
        <v>424</v>
      </c>
      <c r="D104" t="s">
        <v>204</v>
      </c>
      <c r="E104" t="s">
        <v>225</v>
      </c>
      <c r="F104">
        <v>75974.990000000005</v>
      </c>
      <c r="G104" t="s">
        <v>206</v>
      </c>
      <c r="H104" s="5">
        <v>44172</v>
      </c>
      <c r="I104">
        <v>1</v>
      </c>
      <c r="J104" t="s">
        <v>199</v>
      </c>
      <c r="K104" t="s">
        <v>200</v>
      </c>
      <c r="L104">
        <v>5.043835616438356</v>
      </c>
      <c r="M104" t="s">
        <v>201</v>
      </c>
      <c r="N104">
        <v>2020</v>
      </c>
    </row>
    <row r="105" spans="1:14" x14ac:dyDescent="0.25">
      <c r="A105" t="s">
        <v>425</v>
      </c>
      <c r="B105" t="s">
        <v>790</v>
      </c>
      <c r="C105" t="s">
        <v>426</v>
      </c>
      <c r="D105" t="s">
        <v>204</v>
      </c>
      <c r="E105" t="s">
        <v>211</v>
      </c>
      <c r="F105">
        <v>42161.77</v>
      </c>
      <c r="G105" t="s">
        <v>235</v>
      </c>
      <c r="H105" s="5">
        <v>43494</v>
      </c>
      <c r="I105">
        <v>1</v>
      </c>
      <c r="J105" t="s">
        <v>199</v>
      </c>
      <c r="K105" t="s">
        <v>244</v>
      </c>
      <c r="L105">
        <v>6.9013698630136986</v>
      </c>
      <c r="M105" t="s">
        <v>201</v>
      </c>
      <c r="N105">
        <v>2019</v>
      </c>
    </row>
    <row r="106" spans="1:14" x14ac:dyDescent="0.25">
      <c r="A106" t="s">
        <v>427</v>
      </c>
      <c r="B106" t="s">
        <v>791</v>
      </c>
      <c r="C106" t="s">
        <v>428</v>
      </c>
      <c r="D106" t="s">
        <v>196</v>
      </c>
      <c r="E106" t="s">
        <v>205</v>
      </c>
      <c r="F106">
        <v>71371.37</v>
      </c>
      <c r="G106" t="s">
        <v>206</v>
      </c>
      <c r="H106" s="5">
        <v>43392</v>
      </c>
      <c r="I106">
        <v>1</v>
      </c>
      <c r="J106" t="s">
        <v>199</v>
      </c>
      <c r="K106" t="s">
        <v>218</v>
      </c>
      <c r="L106">
        <v>7.1808219178082195</v>
      </c>
      <c r="M106" t="s">
        <v>201</v>
      </c>
      <c r="N106">
        <v>2018</v>
      </c>
    </row>
    <row r="107" spans="1:14" x14ac:dyDescent="0.25">
      <c r="A107" t="s">
        <v>429</v>
      </c>
      <c r="B107" t="s">
        <v>792</v>
      </c>
      <c r="C107" t="s">
        <v>430</v>
      </c>
      <c r="D107" t="s">
        <v>196</v>
      </c>
      <c r="E107" t="s">
        <v>261</v>
      </c>
      <c r="F107">
        <v>49915.14</v>
      </c>
      <c r="G107" t="s">
        <v>235</v>
      </c>
      <c r="H107" s="5">
        <v>43550</v>
      </c>
      <c r="I107">
        <v>1</v>
      </c>
      <c r="J107" t="s">
        <v>199</v>
      </c>
      <c r="K107" t="s">
        <v>200</v>
      </c>
      <c r="L107">
        <v>6.7479452054794518</v>
      </c>
      <c r="M107" t="s">
        <v>201</v>
      </c>
      <c r="N107">
        <v>2019</v>
      </c>
    </row>
    <row r="108" spans="1:14" x14ac:dyDescent="0.25">
      <c r="A108" t="s">
        <v>431</v>
      </c>
      <c r="B108" t="s">
        <v>793</v>
      </c>
      <c r="C108" t="s">
        <v>432</v>
      </c>
      <c r="D108" t="s">
        <v>196</v>
      </c>
      <c r="E108" t="s">
        <v>225</v>
      </c>
      <c r="F108">
        <v>37062.1</v>
      </c>
      <c r="G108" t="s">
        <v>235</v>
      </c>
      <c r="H108" s="5">
        <v>44357</v>
      </c>
      <c r="I108">
        <v>1</v>
      </c>
      <c r="J108" t="s">
        <v>243</v>
      </c>
      <c r="K108" t="s">
        <v>249</v>
      </c>
      <c r="L108">
        <v>4.536986301369863</v>
      </c>
      <c r="M108" t="s">
        <v>201</v>
      </c>
      <c r="N108">
        <v>2021</v>
      </c>
    </row>
    <row r="109" spans="1:14" x14ac:dyDescent="0.25">
      <c r="A109" t="s">
        <v>283</v>
      </c>
      <c r="B109" t="s">
        <v>719</v>
      </c>
      <c r="C109" t="s">
        <v>284</v>
      </c>
      <c r="D109" t="s">
        <v>196</v>
      </c>
      <c r="E109" t="s">
        <v>205</v>
      </c>
      <c r="F109">
        <v>90884.32</v>
      </c>
      <c r="G109" t="s">
        <v>206</v>
      </c>
      <c r="H109" s="5">
        <v>43826</v>
      </c>
      <c r="I109">
        <v>1</v>
      </c>
      <c r="J109" t="s">
        <v>199</v>
      </c>
      <c r="K109" t="s">
        <v>240</v>
      </c>
      <c r="L109">
        <v>5.9917808219178079</v>
      </c>
      <c r="M109" t="s">
        <v>201</v>
      </c>
      <c r="N109">
        <v>2019</v>
      </c>
    </row>
    <row r="110" spans="1:14" x14ac:dyDescent="0.25">
      <c r="A110" t="s">
        <v>433</v>
      </c>
      <c r="B110" t="s">
        <v>794</v>
      </c>
      <c r="C110" t="s">
        <v>434</v>
      </c>
      <c r="D110" t="s">
        <v>196</v>
      </c>
      <c r="E110" t="s">
        <v>282</v>
      </c>
      <c r="F110">
        <v>89838.77</v>
      </c>
      <c r="G110" t="s">
        <v>206</v>
      </c>
      <c r="H110" s="5">
        <v>43602</v>
      </c>
      <c r="I110">
        <v>1</v>
      </c>
      <c r="J110" t="s">
        <v>199</v>
      </c>
      <c r="K110" t="s">
        <v>200</v>
      </c>
      <c r="L110">
        <v>6.6054794520547944</v>
      </c>
      <c r="M110" t="s">
        <v>201</v>
      </c>
      <c r="N110">
        <v>2019</v>
      </c>
    </row>
    <row r="111" spans="1:14" x14ac:dyDescent="0.25">
      <c r="A111" t="s">
        <v>435</v>
      </c>
      <c r="B111" t="s">
        <v>795</v>
      </c>
      <c r="C111" t="s">
        <v>436</v>
      </c>
      <c r="D111" t="s">
        <v>204</v>
      </c>
      <c r="E111" t="s">
        <v>261</v>
      </c>
      <c r="F111">
        <v>68887.839999999997</v>
      </c>
      <c r="G111" t="s">
        <v>206</v>
      </c>
      <c r="H111" s="5">
        <v>43297</v>
      </c>
      <c r="I111">
        <v>1</v>
      </c>
      <c r="J111" t="s">
        <v>199</v>
      </c>
      <c r="K111" t="s">
        <v>200</v>
      </c>
      <c r="L111">
        <v>7.441095890410959</v>
      </c>
      <c r="M111" t="s">
        <v>201</v>
      </c>
      <c r="N111">
        <v>2018</v>
      </c>
    </row>
    <row r="112" spans="1:14" x14ac:dyDescent="0.25">
      <c r="A112" t="s">
        <v>371</v>
      </c>
      <c r="B112" t="s">
        <v>796</v>
      </c>
      <c r="C112" t="s">
        <v>437</v>
      </c>
      <c r="D112" t="s">
        <v>196</v>
      </c>
      <c r="E112" t="s">
        <v>277</v>
      </c>
      <c r="F112">
        <v>106775.14</v>
      </c>
      <c r="G112" t="s">
        <v>198</v>
      </c>
      <c r="H112" s="5">
        <v>43563</v>
      </c>
      <c r="I112">
        <v>1</v>
      </c>
      <c r="J112" t="s">
        <v>215</v>
      </c>
      <c r="K112" t="s">
        <v>218</v>
      </c>
      <c r="L112">
        <v>6.7123287671232879</v>
      </c>
      <c r="M112" t="s">
        <v>201</v>
      </c>
      <c r="N112">
        <v>2019</v>
      </c>
    </row>
    <row r="113" spans="1:14" x14ac:dyDescent="0.25">
      <c r="A113" t="s">
        <v>438</v>
      </c>
      <c r="B113" t="s">
        <v>797</v>
      </c>
      <c r="C113" t="s">
        <v>439</v>
      </c>
      <c r="D113" t="s">
        <v>204</v>
      </c>
      <c r="E113" t="s">
        <v>211</v>
      </c>
      <c r="F113">
        <v>89690.38</v>
      </c>
      <c r="G113" t="s">
        <v>206</v>
      </c>
      <c r="H113" s="5">
        <v>43213</v>
      </c>
      <c r="I113">
        <v>1</v>
      </c>
      <c r="J113" t="s">
        <v>199</v>
      </c>
      <c r="K113" t="s">
        <v>218</v>
      </c>
      <c r="L113">
        <v>7.6712328767123283</v>
      </c>
      <c r="M113" t="s">
        <v>201</v>
      </c>
      <c r="N113">
        <v>2018</v>
      </c>
    </row>
    <row r="114" spans="1:14" x14ac:dyDescent="0.25">
      <c r="A114" t="s">
        <v>440</v>
      </c>
      <c r="B114" t="s">
        <v>798</v>
      </c>
      <c r="C114" t="s">
        <v>441</v>
      </c>
      <c r="D114" t="s">
        <v>196</v>
      </c>
      <c r="E114" t="s">
        <v>277</v>
      </c>
      <c r="F114">
        <v>111229.47</v>
      </c>
      <c r="G114" t="s">
        <v>198</v>
      </c>
      <c r="H114" s="5">
        <v>43402</v>
      </c>
      <c r="I114">
        <v>1</v>
      </c>
      <c r="J114" t="s">
        <v>199</v>
      </c>
      <c r="K114" t="s">
        <v>200</v>
      </c>
      <c r="L114">
        <v>7.1534246575342468</v>
      </c>
      <c r="M114" t="s">
        <v>201</v>
      </c>
      <c r="N114">
        <v>2018</v>
      </c>
    </row>
    <row r="115" spans="1:14" x14ac:dyDescent="0.25">
      <c r="A115" t="s">
        <v>442</v>
      </c>
      <c r="B115" t="s">
        <v>799</v>
      </c>
      <c r="C115" t="s">
        <v>443</v>
      </c>
      <c r="D115" t="s">
        <v>196</v>
      </c>
      <c r="E115" t="s">
        <v>261</v>
      </c>
      <c r="F115">
        <v>67633.850000000006</v>
      </c>
      <c r="G115" t="s">
        <v>206</v>
      </c>
      <c r="H115" s="5">
        <v>43340</v>
      </c>
      <c r="I115">
        <v>1</v>
      </c>
      <c r="J115" t="s">
        <v>199</v>
      </c>
      <c r="K115" t="s">
        <v>240</v>
      </c>
      <c r="L115">
        <v>7.3232876712328769</v>
      </c>
      <c r="M115" t="s">
        <v>201</v>
      </c>
      <c r="N115">
        <v>2018</v>
      </c>
    </row>
    <row r="116" spans="1:14" x14ac:dyDescent="0.25">
      <c r="A116" t="s">
        <v>444</v>
      </c>
      <c r="B116" t="s">
        <v>800</v>
      </c>
      <c r="C116" t="s">
        <v>445</v>
      </c>
      <c r="D116" t="s">
        <v>196</v>
      </c>
      <c r="E116" t="s">
        <v>211</v>
      </c>
      <c r="F116">
        <v>111815.49</v>
      </c>
      <c r="G116" t="s">
        <v>198</v>
      </c>
      <c r="H116" s="5">
        <v>43895</v>
      </c>
      <c r="I116">
        <v>0.7</v>
      </c>
      <c r="J116" t="s">
        <v>243</v>
      </c>
      <c r="K116" t="s">
        <v>200</v>
      </c>
      <c r="L116">
        <v>5.8027397260273972</v>
      </c>
      <c r="M116" t="s">
        <v>208</v>
      </c>
      <c r="N116">
        <v>2020</v>
      </c>
    </row>
    <row r="117" spans="1:14" x14ac:dyDescent="0.25">
      <c r="A117" t="s">
        <v>446</v>
      </c>
      <c r="B117" t="s">
        <v>801</v>
      </c>
      <c r="C117" t="s">
        <v>447</v>
      </c>
      <c r="D117" t="s">
        <v>196</v>
      </c>
      <c r="E117" t="s">
        <v>205</v>
      </c>
      <c r="F117">
        <v>39784.239999999998</v>
      </c>
      <c r="G117" t="s">
        <v>235</v>
      </c>
      <c r="H117" s="5">
        <v>43465</v>
      </c>
      <c r="I117">
        <v>1</v>
      </c>
      <c r="J117" t="s">
        <v>215</v>
      </c>
      <c r="K117" t="s">
        <v>249</v>
      </c>
      <c r="L117">
        <v>6.9808219178082194</v>
      </c>
      <c r="M117" t="s">
        <v>201</v>
      </c>
      <c r="N117">
        <v>2018</v>
      </c>
    </row>
    <row r="118" spans="1:14" x14ac:dyDescent="0.25">
      <c r="A118" t="s">
        <v>448</v>
      </c>
      <c r="B118" t="s">
        <v>802</v>
      </c>
      <c r="C118" t="s">
        <v>449</v>
      </c>
      <c r="D118" t="s">
        <v>204</v>
      </c>
      <c r="E118" t="s">
        <v>277</v>
      </c>
      <c r="F118">
        <v>89829.33</v>
      </c>
      <c r="G118" t="s">
        <v>206</v>
      </c>
      <c r="H118" s="5">
        <v>43794</v>
      </c>
      <c r="I118">
        <v>1</v>
      </c>
      <c r="J118" t="s">
        <v>243</v>
      </c>
      <c r="K118" t="s">
        <v>249</v>
      </c>
      <c r="L118">
        <v>6.0794520547945208</v>
      </c>
      <c r="M118" t="s">
        <v>201</v>
      </c>
      <c r="N118">
        <v>2019</v>
      </c>
    </row>
    <row r="119" spans="1:14" x14ac:dyDescent="0.25">
      <c r="A119" t="s">
        <v>444</v>
      </c>
      <c r="B119" t="s">
        <v>800</v>
      </c>
      <c r="C119" t="s">
        <v>445</v>
      </c>
      <c r="D119" t="s">
        <v>196</v>
      </c>
      <c r="E119" t="s">
        <v>211</v>
      </c>
      <c r="F119">
        <v>111815.49</v>
      </c>
      <c r="G119" t="s">
        <v>198</v>
      </c>
      <c r="H119" s="5">
        <v>43895</v>
      </c>
      <c r="I119">
        <v>0.7</v>
      </c>
      <c r="J119" t="s">
        <v>243</v>
      </c>
      <c r="K119" t="s">
        <v>200</v>
      </c>
      <c r="L119">
        <v>5.8027397260273972</v>
      </c>
      <c r="M119" t="s">
        <v>208</v>
      </c>
      <c r="N119">
        <v>2020</v>
      </c>
    </row>
    <row r="120" spans="1:14" x14ac:dyDescent="0.25">
      <c r="A120" t="s">
        <v>450</v>
      </c>
      <c r="B120" t="s">
        <v>803</v>
      </c>
      <c r="C120" t="s">
        <v>451</v>
      </c>
      <c r="D120" t="s">
        <v>196</v>
      </c>
      <c r="E120" t="s">
        <v>282</v>
      </c>
      <c r="F120">
        <v>72843.23</v>
      </c>
      <c r="G120" t="s">
        <v>206</v>
      </c>
      <c r="H120" s="5">
        <v>43280</v>
      </c>
      <c r="I120">
        <v>1</v>
      </c>
      <c r="J120" t="s">
        <v>215</v>
      </c>
      <c r="K120" t="s">
        <v>221</v>
      </c>
      <c r="L120">
        <v>7.4876712328767123</v>
      </c>
      <c r="M120" t="s">
        <v>201</v>
      </c>
      <c r="N120">
        <v>2018</v>
      </c>
    </row>
    <row r="121" spans="1:14" x14ac:dyDescent="0.25">
      <c r="A121" t="s">
        <v>405</v>
      </c>
      <c r="B121" t="s">
        <v>780</v>
      </c>
      <c r="C121" t="s">
        <v>406</v>
      </c>
      <c r="D121" t="s">
        <v>204</v>
      </c>
      <c r="E121" t="s">
        <v>261</v>
      </c>
      <c r="F121">
        <v>71823.56</v>
      </c>
      <c r="G121" t="s">
        <v>206</v>
      </c>
      <c r="H121" s="5">
        <v>43374</v>
      </c>
      <c r="I121">
        <v>0.3</v>
      </c>
      <c r="J121" t="s">
        <v>243</v>
      </c>
      <c r="K121" t="s">
        <v>200</v>
      </c>
      <c r="L121">
        <v>7.2301369863013702</v>
      </c>
      <c r="M121" t="s">
        <v>208</v>
      </c>
      <c r="N121">
        <v>2018</v>
      </c>
    </row>
    <row r="122" spans="1:14" x14ac:dyDescent="0.25">
      <c r="A122" t="s">
        <v>452</v>
      </c>
      <c r="B122" t="s">
        <v>804</v>
      </c>
      <c r="C122" t="s">
        <v>453</v>
      </c>
      <c r="D122" t="s">
        <v>196</v>
      </c>
      <c r="E122" t="s">
        <v>205</v>
      </c>
      <c r="F122">
        <v>88511.17</v>
      </c>
      <c r="G122" t="s">
        <v>206</v>
      </c>
      <c r="H122" s="5">
        <v>43950</v>
      </c>
      <c r="I122">
        <v>1</v>
      </c>
      <c r="J122" t="s">
        <v>199</v>
      </c>
      <c r="K122" t="s">
        <v>240</v>
      </c>
      <c r="L122">
        <v>5.6520547945205477</v>
      </c>
      <c r="M122" t="s">
        <v>201</v>
      </c>
      <c r="N122">
        <v>2020</v>
      </c>
    </row>
    <row r="123" spans="1:14" x14ac:dyDescent="0.25">
      <c r="A123" t="s">
        <v>454</v>
      </c>
      <c r="B123" t="s">
        <v>805</v>
      </c>
      <c r="C123" t="s">
        <v>455</v>
      </c>
      <c r="D123" t="s">
        <v>196</v>
      </c>
      <c r="E123" t="s">
        <v>261</v>
      </c>
      <c r="F123">
        <v>36547.58</v>
      </c>
      <c r="G123" t="s">
        <v>235</v>
      </c>
      <c r="H123" s="5">
        <v>43416</v>
      </c>
      <c r="I123">
        <v>1</v>
      </c>
      <c r="J123" t="s">
        <v>199</v>
      </c>
      <c r="K123" t="s">
        <v>200</v>
      </c>
      <c r="L123">
        <v>7.1150684931506847</v>
      </c>
      <c r="M123" t="s">
        <v>201</v>
      </c>
      <c r="N123">
        <v>2018</v>
      </c>
    </row>
    <row r="124" spans="1:14" x14ac:dyDescent="0.25">
      <c r="A124" t="s">
        <v>456</v>
      </c>
      <c r="B124" t="s">
        <v>806</v>
      </c>
      <c r="C124" t="s">
        <v>457</v>
      </c>
      <c r="D124" t="s">
        <v>196</v>
      </c>
      <c r="E124" t="s">
        <v>261</v>
      </c>
      <c r="F124">
        <v>95954.02</v>
      </c>
      <c r="G124" t="s">
        <v>206</v>
      </c>
      <c r="H124" s="5">
        <v>43567</v>
      </c>
      <c r="I124">
        <v>0.3</v>
      </c>
      <c r="J124" t="s">
        <v>199</v>
      </c>
      <c r="K124" t="s">
        <v>218</v>
      </c>
      <c r="L124">
        <v>6.7013698630136984</v>
      </c>
      <c r="M124" t="s">
        <v>208</v>
      </c>
      <c r="N124">
        <v>2019</v>
      </c>
    </row>
    <row r="125" spans="1:14" x14ac:dyDescent="0.25">
      <c r="A125" t="s">
        <v>458</v>
      </c>
      <c r="B125" t="s">
        <v>807</v>
      </c>
      <c r="C125" t="s">
        <v>459</v>
      </c>
      <c r="D125" t="s">
        <v>204</v>
      </c>
      <c r="E125" t="s">
        <v>214</v>
      </c>
      <c r="F125">
        <v>95677.9</v>
      </c>
      <c r="G125" t="s">
        <v>206</v>
      </c>
      <c r="H125" s="5">
        <v>44396</v>
      </c>
      <c r="I125">
        <v>0.3</v>
      </c>
      <c r="J125" t="s">
        <v>199</v>
      </c>
      <c r="K125" t="s">
        <v>249</v>
      </c>
      <c r="L125">
        <v>4.4301369863013695</v>
      </c>
      <c r="M125" t="s">
        <v>208</v>
      </c>
      <c r="N125">
        <v>2021</v>
      </c>
    </row>
    <row r="126" spans="1:14" x14ac:dyDescent="0.25">
      <c r="A126" t="s">
        <v>460</v>
      </c>
      <c r="B126" t="s">
        <v>808</v>
      </c>
      <c r="C126" t="s">
        <v>461</v>
      </c>
      <c r="D126" t="s">
        <v>204</v>
      </c>
      <c r="E126" t="s">
        <v>261</v>
      </c>
      <c r="F126">
        <v>76303.820000000007</v>
      </c>
      <c r="G126" t="s">
        <v>206</v>
      </c>
      <c r="H126" s="5">
        <v>43458</v>
      </c>
      <c r="I126">
        <v>1</v>
      </c>
      <c r="J126" t="s">
        <v>215</v>
      </c>
      <c r="K126" t="s">
        <v>218</v>
      </c>
      <c r="L126">
        <v>7</v>
      </c>
      <c r="M126" t="s">
        <v>201</v>
      </c>
      <c r="N126">
        <v>2018</v>
      </c>
    </row>
    <row r="127" spans="1:14" x14ac:dyDescent="0.25">
      <c r="A127" t="s">
        <v>462</v>
      </c>
      <c r="B127" t="s">
        <v>809</v>
      </c>
      <c r="C127" t="s">
        <v>463</v>
      </c>
      <c r="D127" t="s">
        <v>196</v>
      </c>
      <c r="E127" t="s">
        <v>282</v>
      </c>
      <c r="F127">
        <v>99460.78</v>
      </c>
      <c r="G127" t="s">
        <v>206</v>
      </c>
      <c r="H127" s="5">
        <v>43956</v>
      </c>
      <c r="I127">
        <v>1</v>
      </c>
      <c r="J127" t="s">
        <v>199</v>
      </c>
      <c r="K127" t="s">
        <v>200</v>
      </c>
      <c r="L127">
        <v>5.6356164383561644</v>
      </c>
      <c r="M127" t="s">
        <v>201</v>
      </c>
      <c r="N127">
        <v>2020</v>
      </c>
    </row>
    <row r="128" spans="1:14" x14ac:dyDescent="0.25">
      <c r="A128" t="s">
        <v>464</v>
      </c>
      <c r="B128" t="s">
        <v>810</v>
      </c>
      <c r="C128" t="s">
        <v>465</v>
      </c>
      <c r="D128" t="s">
        <v>204</v>
      </c>
      <c r="E128" t="s">
        <v>225</v>
      </c>
      <c r="F128">
        <v>88034.67</v>
      </c>
      <c r="G128" t="s">
        <v>206</v>
      </c>
      <c r="H128" s="5">
        <v>43669</v>
      </c>
      <c r="I128">
        <v>1</v>
      </c>
      <c r="J128" t="s">
        <v>199</v>
      </c>
      <c r="K128" t="s">
        <v>200</v>
      </c>
      <c r="L128">
        <v>6.4219178082191783</v>
      </c>
      <c r="M128" t="s">
        <v>201</v>
      </c>
      <c r="N128">
        <v>2019</v>
      </c>
    </row>
    <row r="129" spans="1:14" x14ac:dyDescent="0.25">
      <c r="A129" t="s">
        <v>466</v>
      </c>
      <c r="B129" t="s">
        <v>811</v>
      </c>
      <c r="C129" t="s">
        <v>467</v>
      </c>
      <c r="D129" t="s">
        <v>204</v>
      </c>
      <c r="E129" t="s">
        <v>697</v>
      </c>
      <c r="F129">
        <v>44447.26</v>
      </c>
      <c r="G129" t="s">
        <v>235</v>
      </c>
      <c r="H129" s="5">
        <v>43846</v>
      </c>
      <c r="I129">
        <v>0.4</v>
      </c>
      <c r="J129" t="s">
        <v>199</v>
      </c>
      <c r="K129" t="s">
        <v>207</v>
      </c>
      <c r="L129">
        <v>5.9369863013698634</v>
      </c>
      <c r="M129" t="s">
        <v>208</v>
      </c>
      <c r="N129">
        <v>2020</v>
      </c>
    </row>
    <row r="130" spans="1:14" x14ac:dyDescent="0.25">
      <c r="A130" t="s">
        <v>468</v>
      </c>
      <c r="B130" t="s">
        <v>812</v>
      </c>
      <c r="C130" t="s">
        <v>469</v>
      </c>
      <c r="D130" t="s">
        <v>196</v>
      </c>
      <c r="E130" t="s">
        <v>277</v>
      </c>
      <c r="F130">
        <v>40445.29</v>
      </c>
      <c r="G130" t="s">
        <v>235</v>
      </c>
      <c r="H130" s="5">
        <v>44393</v>
      </c>
      <c r="I130">
        <v>1</v>
      </c>
      <c r="J130" t="s">
        <v>199</v>
      </c>
      <c r="K130" t="s">
        <v>249</v>
      </c>
      <c r="L130">
        <v>4.4383561643835616</v>
      </c>
      <c r="M130" t="s">
        <v>201</v>
      </c>
      <c r="N130">
        <v>2021</v>
      </c>
    </row>
    <row r="131" spans="1:14" x14ac:dyDescent="0.25">
      <c r="A131" t="s">
        <v>470</v>
      </c>
      <c r="B131" t="s">
        <v>813</v>
      </c>
      <c r="C131" t="s">
        <v>471</v>
      </c>
      <c r="D131" t="s">
        <v>204</v>
      </c>
      <c r="E131" t="s">
        <v>697</v>
      </c>
      <c r="F131">
        <v>92336.08</v>
      </c>
      <c r="G131" t="s">
        <v>206</v>
      </c>
      <c r="H131" s="5">
        <v>44431</v>
      </c>
      <c r="I131">
        <v>1</v>
      </c>
      <c r="J131" t="s">
        <v>199</v>
      </c>
      <c r="K131" t="s">
        <v>218</v>
      </c>
      <c r="L131">
        <v>4.3342465753424655</v>
      </c>
      <c r="M131" t="s">
        <v>201</v>
      </c>
      <c r="N131">
        <v>2021</v>
      </c>
    </row>
    <row r="132" spans="1:14" x14ac:dyDescent="0.25">
      <c r="A132" t="s">
        <v>472</v>
      </c>
      <c r="B132" t="s">
        <v>814</v>
      </c>
      <c r="C132" t="s">
        <v>473</v>
      </c>
      <c r="D132" t="s">
        <v>204</v>
      </c>
      <c r="E132" t="s">
        <v>228</v>
      </c>
      <c r="F132">
        <v>68008.55</v>
      </c>
      <c r="G132" t="s">
        <v>206</v>
      </c>
      <c r="H132" s="5">
        <v>44062</v>
      </c>
      <c r="I132">
        <v>1</v>
      </c>
      <c r="J132" t="s">
        <v>199</v>
      </c>
      <c r="K132" t="s">
        <v>244</v>
      </c>
      <c r="L132">
        <v>5.3452054794520549</v>
      </c>
      <c r="M132" t="s">
        <v>201</v>
      </c>
      <c r="N132">
        <v>2020</v>
      </c>
    </row>
    <row r="133" spans="1:14" x14ac:dyDescent="0.25">
      <c r="A133" t="s">
        <v>474</v>
      </c>
      <c r="B133" t="s">
        <v>815</v>
      </c>
      <c r="C133" t="s">
        <v>475</v>
      </c>
      <c r="D133" t="s">
        <v>196</v>
      </c>
      <c r="E133" t="s">
        <v>277</v>
      </c>
      <c r="F133">
        <v>74924.649999999994</v>
      </c>
      <c r="G133" t="s">
        <v>206</v>
      </c>
      <c r="H133" s="5">
        <v>44239</v>
      </c>
      <c r="I133">
        <v>1</v>
      </c>
      <c r="J133" t="s">
        <v>199</v>
      </c>
      <c r="K133" t="s">
        <v>218</v>
      </c>
      <c r="L133">
        <v>4.86027397260274</v>
      </c>
      <c r="M133" t="s">
        <v>201</v>
      </c>
      <c r="N133">
        <v>2021</v>
      </c>
    </row>
    <row r="134" spans="1:14" x14ac:dyDescent="0.25">
      <c r="A134" t="s">
        <v>476</v>
      </c>
      <c r="B134" t="s">
        <v>816</v>
      </c>
      <c r="C134" t="s">
        <v>477</v>
      </c>
      <c r="D134" t="s">
        <v>196</v>
      </c>
      <c r="E134" t="s">
        <v>211</v>
      </c>
      <c r="F134">
        <v>88689.09</v>
      </c>
      <c r="G134" t="s">
        <v>206</v>
      </c>
      <c r="H134" s="5">
        <v>43740</v>
      </c>
      <c r="I134">
        <v>1</v>
      </c>
      <c r="J134" t="s">
        <v>199</v>
      </c>
      <c r="K134" t="s">
        <v>207</v>
      </c>
      <c r="L134">
        <v>6.2273972602739729</v>
      </c>
      <c r="M134" t="s">
        <v>201</v>
      </c>
      <c r="N134">
        <v>2019</v>
      </c>
    </row>
    <row r="135" spans="1:14" x14ac:dyDescent="0.25">
      <c r="A135" t="s">
        <v>478</v>
      </c>
      <c r="B135" t="s">
        <v>817</v>
      </c>
      <c r="C135" t="s">
        <v>479</v>
      </c>
      <c r="D135" t="s">
        <v>204</v>
      </c>
      <c r="E135" t="s">
        <v>697</v>
      </c>
      <c r="F135">
        <v>96555.53</v>
      </c>
      <c r="G135" t="s">
        <v>206</v>
      </c>
      <c r="H135" s="5">
        <v>43489</v>
      </c>
      <c r="I135">
        <v>0.2</v>
      </c>
      <c r="J135" t="s">
        <v>243</v>
      </c>
      <c r="K135" t="s">
        <v>218</v>
      </c>
      <c r="L135">
        <v>6.9150684931506845</v>
      </c>
      <c r="M135" t="s">
        <v>208</v>
      </c>
      <c r="N135">
        <v>2019</v>
      </c>
    </row>
    <row r="136" spans="1:14" x14ac:dyDescent="0.25">
      <c r="A136" t="s">
        <v>480</v>
      </c>
      <c r="B136" t="s">
        <v>818</v>
      </c>
      <c r="C136" t="s">
        <v>481</v>
      </c>
      <c r="D136" t="s">
        <v>204</v>
      </c>
      <c r="E136" t="s">
        <v>225</v>
      </c>
      <c r="F136">
        <v>71924.850000000006</v>
      </c>
      <c r="G136" t="s">
        <v>206</v>
      </c>
      <c r="H136" s="5">
        <v>43822</v>
      </c>
      <c r="I136">
        <v>1</v>
      </c>
      <c r="J136" t="s">
        <v>199</v>
      </c>
      <c r="K136" t="s">
        <v>249</v>
      </c>
      <c r="L136">
        <v>6.0027397260273974</v>
      </c>
      <c r="M136" t="s">
        <v>201</v>
      </c>
      <c r="N136">
        <v>2019</v>
      </c>
    </row>
    <row r="137" spans="1:14" x14ac:dyDescent="0.25">
      <c r="A137" t="s">
        <v>482</v>
      </c>
      <c r="B137" t="s">
        <v>819</v>
      </c>
      <c r="C137" t="s">
        <v>483</v>
      </c>
      <c r="D137" t="s">
        <v>196</v>
      </c>
      <c r="E137" t="s">
        <v>277</v>
      </c>
      <c r="F137">
        <v>31241.24</v>
      </c>
      <c r="G137" t="s">
        <v>235</v>
      </c>
      <c r="H137" s="5">
        <v>43725</v>
      </c>
      <c r="I137">
        <v>1</v>
      </c>
      <c r="J137" t="s">
        <v>199</v>
      </c>
      <c r="K137" t="s">
        <v>200</v>
      </c>
      <c r="L137">
        <v>6.2684931506849315</v>
      </c>
      <c r="M137" t="s">
        <v>201</v>
      </c>
      <c r="N137">
        <v>2019</v>
      </c>
    </row>
    <row r="138" spans="1:14" x14ac:dyDescent="0.25">
      <c r="A138" t="s">
        <v>484</v>
      </c>
      <c r="B138" t="s">
        <v>820</v>
      </c>
      <c r="C138" t="s">
        <v>485</v>
      </c>
      <c r="D138" t="s">
        <v>196</v>
      </c>
      <c r="E138" t="s">
        <v>205</v>
      </c>
      <c r="F138">
        <v>110042.37</v>
      </c>
      <c r="G138" t="s">
        <v>198</v>
      </c>
      <c r="H138" s="5">
        <v>43914</v>
      </c>
      <c r="I138">
        <v>1</v>
      </c>
      <c r="J138" t="s">
        <v>199</v>
      </c>
      <c r="K138" t="s">
        <v>240</v>
      </c>
      <c r="L138">
        <v>5.7506849315068491</v>
      </c>
      <c r="M138" t="s">
        <v>201</v>
      </c>
      <c r="N138">
        <v>2020</v>
      </c>
    </row>
    <row r="139" spans="1:14" x14ac:dyDescent="0.25">
      <c r="A139" t="s">
        <v>247</v>
      </c>
      <c r="B139" t="s">
        <v>821</v>
      </c>
      <c r="C139" t="s">
        <v>486</v>
      </c>
      <c r="D139" t="s">
        <v>204</v>
      </c>
      <c r="E139" t="s">
        <v>214</v>
      </c>
      <c r="F139">
        <v>37902.35</v>
      </c>
      <c r="G139" t="s">
        <v>235</v>
      </c>
      <c r="H139" s="5">
        <v>43823</v>
      </c>
      <c r="I139">
        <v>1</v>
      </c>
      <c r="J139" t="s">
        <v>199</v>
      </c>
      <c r="K139" t="s">
        <v>249</v>
      </c>
      <c r="L139">
        <v>6</v>
      </c>
      <c r="M139" t="s">
        <v>201</v>
      </c>
      <c r="N139">
        <v>2019</v>
      </c>
    </row>
    <row r="140" spans="1:14" x14ac:dyDescent="0.25">
      <c r="A140" t="s">
        <v>487</v>
      </c>
      <c r="B140" t="s">
        <v>822</v>
      </c>
      <c r="C140" t="s">
        <v>488</v>
      </c>
      <c r="D140" t="s">
        <v>204</v>
      </c>
      <c r="E140" t="s">
        <v>205</v>
      </c>
      <c r="F140">
        <v>33031.26</v>
      </c>
      <c r="G140" t="s">
        <v>235</v>
      </c>
      <c r="H140" s="5">
        <v>43468</v>
      </c>
      <c r="I140">
        <v>0.4</v>
      </c>
      <c r="J140" t="s">
        <v>199</v>
      </c>
      <c r="K140" t="s">
        <v>218</v>
      </c>
      <c r="L140">
        <v>6.9726027397260273</v>
      </c>
      <c r="M140" t="s">
        <v>208</v>
      </c>
      <c r="N140">
        <v>2019</v>
      </c>
    </row>
    <row r="141" spans="1:14" x14ac:dyDescent="0.25">
      <c r="A141" t="s">
        <v>489</v>
      </c>
      <c r="B141" t="s">
        <v>823</v>
      </c>
      <c r="C141" t="s">
        <v>490</v>
      </c>
      <c r="D141" t="s">
        <v>204</v>
      </c>
      <c r="E141" t="s">
        <v>282</v>
      </c>
      <c r="F141">
        <v>32496.880000000001</v>
      </c>
      <c r="G141" t="s">
        <v>235</v>
      </c>
      <c r="H141" s="5">
        <v>43234</v>
      </c>
      <c r="I141">
        <v>1</v>
      </c>
      <c r="J141" t="s">
        <v>243</v>
      </c>
      <c r="K141" t="s">
        <v>200</v>
      </c>
      <c r="L141">
        <v>7.6136986301369864</v>
      </c>
      <c r="M141" t="s">
        <v>201</v>
      </c>
      <c r="N141">
        <v>2018</v>
      </c>
    </row>
    <row r="142" spans="1:14" x14ac:dyDescent="0.25">
      <c r="A142" t="s">
        <v>491</v>
      </c>
      <c r="B142" t="s">
        <v>824</v>
      </c>
      <c r="C142" t="s">
        <v>492</v>
      </c>
      <c r="D142" t="s">
        <v>204</v>
      </c>
      <c r="E142" t="s">
        <v>211</v>
      </c>
      <c r="F142">
        <v>81897.789999999994</v>
      </c>
      <c r="G142" t="s">
        <v>206</v>
      </c>
      <c r="H142" s="5">
        <v>43146</v>
      </c>
      <c r="I142">
        <v>1</v>
      </c>
      <c r="J142" t="s">
        <v>199</v>
      </c>
      <c r="K142" t="s">
        <v>244</v>
      </c>
      <c r="L142">
        <v>7.8547945205479452</v>
      </c>
      <c r="M142" t="s">
        <v>201</v>
      </c>
      <c r="N142">
        <v>2018</v>
      </c>
    </row>
    <row r="143" spans="1:14" x14ac:dyDescent="0.25">
      <c r="A143" t="s">
        <v>493</v>
      </c>
      <c r="B143" t="s">
        <v>825</v>
      </c>
      <c r="C143" t="s">
        <v>494</v>
      </c>
      <c r="D143" t="s">
        <v>196</v>
      </c>
      <c r="E143" t="s">
        <v>197</v>
      </c>
      <c r="F143">
        <v>108872.77</v>
      </c>
      <c r="G143" t="s">
        <v>198</v>
      </c>
      <c r="H143" s="5">
        <v>43521</v>
      </c>
      <c r="I143">
        <v>1</v>
      </c>
      <c r="J143" t="s">
        <v>199</v>
      </c>
      <c r="K143" t="s">
        <v>200</v>
      </c>
      <c r="L143">
        <v>6.8273972602739725</v>
      </c>
      <c r="M143" t="s">
        <v>201</v>
      </c>
      <c r="N143">
        <v>2019</v>
      </c>
    </row>
    <row r="144" spans="1:14" x14ac:dyDescent="0.25">
      <c r="A144" t="s">
        <v>495</v>
      </c>
      <c r="B144" t="s">
        <v>826</v>
      </c>
      <c r="C144" t="s">
        <v>496</v>
      </c>
      <c r="D144" t="s">
        <v>196</v>
      </c>
      <c r="E144" t="s">
        <v>228</v>
      </c>
      <c r="F144">
        <v>89605.13</v>
      </c>
      <c r="G144" t="s">
        <v>206</v>
      </c>
      <c r="H144" s="5">
        <v>43258</v>
      </c>
      <c r="I144">
        <v>1</v>
      </c>
      <c r="J144" t="s">
        <v>199</v>
      </c>
      <c r="K144" t="s">
        <v>207</v>
      </c>
      <c r="L144">
        <v>7.5479452054794525</v>
      </c>
      <c r="M144" t="s">
        <v>201</v>
      </c>
      <c r="N144">
        <v>2018</v>
      </c>
    </row>
    <row r="145" spans="1:14" x14ac:dyDescent="0.25">
      <c r="A145" t="s">
        <v>497</v>
      </c>
      <c r="B145" t="s">
        <v>827</v>
      </c>
      <c r="C145" t="s">
        <v>498</v>
      </c>
      <c r="D145" t="s">
        <v>224</v>
      </c>
      <c r="E145" t="s">
        <v>282</v>
      </c>
      <c r="F145">
        <v>63447.07</v>
      </c>
      <c r="G145" t="s">
        <v>206</v>
      </c>
      <c r="H145" s="5">
        <v>44148</v>
      </c>
      <c r="I145">
        <v>1</v>
      </c>
      <c r="J145" t="s">
        <v>243</v>
      </c>
      <c r="K145" t="s">
        <v>221</v>
      </c>
      <c r="L145">
        <v>5.1095890410958908</v>
      </c>
      <c r="M145" t="s">
        <v>201</v>
      </c>
      <c r="N145">
        <v>2020</v>
      </c>
    </row>
    <row r="146" spans="1:14" x14ac:dyDescent="0.25">
      <c r="A146" t="s">
        <v>499</v>
      </c>
      <c r="B146" t="s">
        <v>828</v>
      </c>
      <c r="C146" t="s">
        <v>500</v>
      </c>
      <c r="D146" t="s">
        <v>204</v>
      </c>
      <c r="E146" t="s">
        <v>277</v>
      </c>
      <c r="F146">
        <v>106665.67</v>
      </c>
      <c r="G146" t="s">
        <v>198</v>
      </c>
      <c r="H146" s="5">
        <v>43311</v>
      </c>
      <c r="I146">
        <v>1</v>
      </c>
      <c r="J146" t="s">
        <v>243</v>
      </c>
      <c r="K146" t="s">
        <v>240</v>
      </c>
      <c r="L146">
        <v>7.4027397260273968</v>
      </c>
      <c r="M146" t="s">
        <v>201</v>
      </c>
      <c r="N146">
        <v>2018</v>
      </c>
    </row>
    <row r="147" spans="1:14" x14ac:dyDescent="0.25">
      <c r="A147" t="s">
        <v>501</v>
      </c>
      <c r="B147" t="s">
        <v>829</v>
      </c>
      <c r="C147" t="s">
        <v>502</v>
      </c>
      <c r="D147" t="s">
        <v>196</v>
      </c>
      <c r="E147" t="s">
        <v>211</v>
      </c>
      <c r="F147">
        <v>100424.23</v>
      </c>
      <c r="G147" t="s">
        <v>198</v>
      </c>
      <c r="H147" s="5">
        <v>43801</v>
      </c>
      <c r="I147">
        <v>1</v>
      </c>
      <c r="J147" t="s">
        <v>199</v>
      </c>
      <c r="K147" t="s">
        <v>244</v>
      </c>
      <c r="L147">
        <v>6.0602739726027401</v>
      </c>
      <c r="M147" t="s">
        <v>201</v>
      </c>
      <c r="N147">
        <v>2019</v>
      </c>
    </row>
    <row r="148" spans="1:14" x14ac:dyDescent="0.25">
      <c r="A148" t="s">
        <v>503</v>
      </c>
      <c r="B148" t="s">
        <v>830</v>
      </c>
      <c r="C148" t="s">
        <v>504</v>
      </c>
      <c r="D148" t="s">
        <v>196</v>
      </c>
      <c r="E148" t="s">
        <v>211</v>
      </c>
      <c r="F148">
        <v>47646.95</v>
      </c>
      <c r="G148" t="s">
        <v>235</v>
      </c>
      <c r="H148" s="5">
        <v>43791</v>
      </c>
      <c r="I148">
        <v>0.3</v>
      </c>
      <c r="J148" t="s">
        <v>215</v>
      </c>
      <c r="K148" t="s">
        <v>249</v>
      </c>
      <c r="L148">
        <v>6.087671232876712</v>
      </c>
      <c r="M148" t="s">
        <v>208</v>
      </c>
      <c r="N148">
        <v>2019</v>
      </c>
    </row>
    <row r="149" spans="1:14" x14ac:dyDescent="0.25">
      <c r="A149" t="s">
        <v>505</v>
      </c>
      <c r="B149" t="s">
        <v>831</v>
      </c>
      <c r="C149" t="s">
        <v>506</v>
      </c>
      <c r="D149" t="s">
        <v>196</v>
      </c>
      <c r="E149" t="s">
        <v>282</v>
      </c>
      <c r="F149">
        <v>28481.16</v>
      </c>
      <c r="G149" t="s">
        <v>235</v>
      </c>
      <c r="H149" s="5">
        <v>43916</v>
      </c>
      <c r="I149">
        <v>1</v>
      </c>
      <c r="J149" t="s">
        <v>199</v>
      </c>
      <c r="K149" t="s">
        <v>218</v>
      </c>
      <c r="L149">
        <v>5.7452054794520544</v>
      </c>
      <c r="M149" t="s">
        <v>201</v>
      </c>
      <c r="N149">
        <v>2020</v>
      </c>
    </row>
    <row r="150" spans="1:14" x14ac:dyDescent="0.25">
      <c r="A150" t="s">
        <v>507</v>
      </c>
      <c r="B150" t="s">
        <v>832</v>
      </c>
      <c r="C150" t="s">
        <v>508</v>
      </c>
      <c r="D150" t="s">
        <v>204</v>
      </c>
      <c r="E150" t="s">
        <v>264</v>
      </c>
      <c r="F150">
        <v>39535.49</v>
      </c>
      <c r="G150" t="s">
        <v>235</v>
      </c>
      <c r="H150" s="5">
        <v>43397</v>
      </c>
      <c r="I150">
        <v>0.3</v>
      </c>
      <c r="J150" t="s">
        <v>199</v>
      </c>
      <c r="K150" t="s">
        <v>200</v>
      </c>
      <c r="L150">
        <v>7.1671232876712327</v>
      </c>
      <c r="M150" t="s">
        <v>208</v>
      </c>
      <c r="N150">
        <v>2018</v>
      </c>
    </row>
    <row r="151" spans="1:14" x14ac:dyDescent="0.25">
      <c r="A151" t="s">
        <v>509</v>
      </c>
      <c r="B151" t="s">
        <v>833</v>
      </c>
      <c r="C151" t="s">
        <v>510</v>
      </c>
      <c r="D151" t="s">
        <v>196</v>
      </c>
      <c r="E151" t="s">
        <v>225</v>
      </c>
      <c r="F151">
        <v>95017.1</v>
      </c>
      <c r="G151" t="s">
        <v>206</v>
      </c>
      <c r="H151" s="5">
        <v>43283</v>
      </c>
      <c r="I151">
        <v>1</v>
      </c>
      <c r="J151" t="s">
        <v>215</v>
      </c>
      <c r="K151" t="s">
        <v>207</v>
      </c>
      <c r="L151">
        <v>7.4794520547945202</v>
      </c>
      <c r="M151" t="s">
        <v>201</v>
      </c>
      <c r="N151">
        <v>2018</v>
      </c>
    </row>
    <row r="152" spans="1:14" x14ac:dyDescent="0.25">
      <c r="A152" t="s">
        <v>511</v>
      </c>
      <c r="B152" t="s">
        <v>834</v>
      </c>
      <c r="C152" t="s">
        <v>512</v>
      </c>
      <c r="D152" t="s">
        <v>196</v>
      </c>
      <c r="E152" t="s">
        <v>205</v>
      </c>
      <c r="F152">
        <v>69764.100000000006</v>
      </c>
      <c r="G152" t="s">
        <v>206</v>
      </c>
      <c r="H152" s="5">
        <v>44195</v>
      </c>
      <c r="I152">
        <v>1</v>
      </c>
      <c r="J152" t="s">
        <v>215</v>
      </c>
      <c r="K152" t="s">
        <v>207</v>
      </c>
      <c r="L152">
        <v>4.9808219178082194</v>
      </c>
      <c r="M152" t="s">
        <v>201</v>
      </c>
      <c r="N152">
        <v>2020</v>
      </c>
    </row>
    <row r="153" spans="1:14" x14ac:dyDescent="0.25">
      <c r="A153" t="s">
        <v>513</v>
      </c>
      <c r="B153" t="s">
        <v>835</v>
      </c>
      <c r="C153" t="s">
        <v>514</v>
      </c>
      <c r="D153" t="s">
        <v>204</v>
      </c>
      <c r="E153" t="s">
        <v>264</v>
      </c>
      <c r="F153">
        <v>84598.88</v>
      </c>
      <c r="G153" t="s">
        <v>206</v>
      </c>
      <c r="H153" s="5">
        <v>44116</v>
      </c>
      <c r="I153">
        <v>1</v>
      </c>
      <c r="J153" t="s">
        <v>215</v>
      </c>
      <c r="K153" t="s">
        <v>207</v>
      </c>
      <c r="L153">
        <v>5.1972602739726028</v>
      </c>
      <c r="M153" t="s">
        <v>201</v>
      </c>
      <c r="N153">
        <v>2020</v>
      </c>
    </row>
    <row r="154" spans="1:14" x14ac:dyDescent="0.25">
      <c r="A154" t="s">
        <v>515</v>
      </c>
      <c r="B154" t="s">
        <v>836</v>
      </c>
      <c r="C154" t="s">
        <v>516</v>
      </c>
      <c r="D154" t="s">
        <v>196</v>
      </c>
      <c r="E154" t="s">
        <v>197</v>
      </c>
      <c r="F154">
        <v>36536.26</v>
      </c>
      <c r="G154" t="s">
        <v>235</v>
      </c>
      <c r="H154" s="5">
        <v>44358</v>
      </c>
      <c r="I154">
        <v>1</v>
      </c>
      <c r="J154" t="s">
        <v>243</v>
      </c>
      <c r="K154" t="s">
        <v>218</v>
      </c>
      <c r="L154">
        <v>4.5342465753424657</v>
      </c>
      <c r="M154" t="s">
        <v>201</v>
      </c>
      <c r="N154">
        <v>2021</v>
      </c>
    </row>
    <row r="155" spans="1:14" x14ac:dyDescent="0.25">
      <c r="A155" t="s">
        <v>517</v>
      </c>
      <c r="B155" t="s">
        <v>837</v>
      </c>
      <c r="C155" t="s">
        <v>518</v>
      </c>
      <c r="D155" t="s">
        <v>204</v>
      </c>
      <c r="E155" t="s">
        <v>205</v>
      </c>
      <c r="F155">
        <v>61688.77</v>
      </c>
      <c r="G155" t="s">
        <v>206</v>
      </c>
      <c r="H155" s="5">
        <v>43346</v>
      </c>
      <c r="I155">
        <v>0.9</v>
      </c>
      <c r="J155" t="s">
        <v>199</v>
      </c>
      <c r="K155" t="s">
        <v>249</v>
      </c>
      <c r="L155">
        <v>7.3068493150684928</v>
      </c>
      <c r="M155" t="s">
        <v>208</v>
      </c>
      <c r="N155">
        <v>2018</v>
      </c>
    </row>
    <row r="156" spans="1:14" x14ac:dyDescent="0.25">
      <c r="A156" t="s">
        <v>519</v>
      </c>
      <c r="B156" t="s">
        <v>838</v>
      </c>
      <c r="C156" t="s">
        <v>520</v>
      </c>
      <c r="D156" t="s">
        <v>204</v>
      </c>
      <c r="E156" t="s">
        <v>197</v>
      </c>
      <c r="F156">
        <v>88425.08</v>
      </c>
      <c r="G156" t="s">
        <v>206</v>
      </c>
      <c r="H156" s="5">
        <v>43662</v>
      </c>
      <c r="I156">
        <v>1</v>
      </c>
      <c r="J156" t="s">
        <v>199</v>
      </c>
      <c r="K156" t="s">
        <v>218</v>
      </c>
      <c r="L156">
        <v>6.441095890410959</v>
      </c>
      <c r="M156" t="s">
        <v>201</v>
      </c>
      <c r="N156">
        <v>2019</v>
      </c>
    </row>
    <row r="157" spans="1:14" x14ac:dyDescent="0.25">
      <c r="A157" t="s">
        <v>335</v>
      </c>
      <c r="B157" t="s">
        <v>839</v>
      </c>
      <c r="C157" t="s">
        <v>521</v>
      </c>
      <c r="D157" t="s">
        <v>204</v>
      </c>
      <c r="E157" t="s">
        <v>277</v>
      </c>
      <c r="F157">
        <v>38438.239999999998</v>
      </c>
      <c r="G157" t="s">
        <v>235</v>
      </c>
      <c r="H157" s="5">
        <v>43962</v>
      </c>
      <c r="I157">
        <v>1</v>
      </c>
      <c r="J157" t="s">
        <v>199</v>
      </c>
      <c r="K157" t="s">
        <v>249</v>
      </c>
      <c r="L157">
        <v>5.6191780821917812</v>
      </c>
      <c r="M157" t="s">
        <v>201</v>
      </c>
      <c r="N157">
        <v>2020</v>
      </c>
    </row>
    <row r="158" spans="1:14" x14ac:dyDescent="0.25">
      <c r="A158" t="s">
        <v>522</v>
      </c>
      <c r="B158" t="s">
        <v>840</v>
      </c>
      <c r="C158" t="s">
        <v>523</v>
      </c>
      <c r="D158" t="s">
        <v>196</v>
      </c>
      <c r="E158" t="s">
        <v>264</v>
      </c>
      <c r="F158">
        <v>96753.78</v>
      </c>
      <c r="G158" t="s">
        <v>206</v>
      </c>
      <c r="H158" s="5">
        <v>44494</v>
      </c>
      <c r="I158">
        <v>1</v>
      </c>
      <c r="J158" t="s">
        <v>199</v>
      </c>
      <c r="K158" t="s">
        <v>244</v>
      </c>
      <c r="L158">
        <v>4.161643835616438</v>
      </c>
      <c r="M158" t="s">
        <v>201</v>
      </c>
      <c r="N158">
        <v>2021</v>
      </c>
    </row>
    <row r="159" spans="1:14" x14ac:dyDescent="0.25">
      <c r="A159" t="s">
        <v>415</v>
      </c>
      <c r="B159" t="s">
        <v>785</v>
      </c>
      <c r="C159" t="s">
        <v>416</v>
      </c>
      <c r="D159" t="s">
        <v>196</v>
      </c>
      <c r="E159" t="s">
        <v>214</v>
      </c>
      <c r="F159">
        <v>112778.28</v>
      </c>
      <c r="G159" t="s">
        <v>198</v>
      </c>
      <c r="H159" s="5">
        <v>43250</v>
      </c>
      <c r="I159">
        <v>1</v>
      </c>
      <c r="J159" t="s">
        <v>215</v>
      </c>
      <c r="K159" t="s">
        <v>200</v>
      </c>
      <c r="L159">
        <v>7.5698630136986305</v>
      </c>
      <c r="M159" t="s">
        <v>201</v>
      </c>
      <c r="N159">
        <v>2018</v>
      </c>
    </row>
    <row r="160" spans="1:14" x14ac:dyDescent="0.25">
      <c r="A160" t="s">
        <v>524</v>
      </c>
      <c r="B160" t="s">
        <v>841</v>
      </c>
      <c r="C160" t="s">
        <v>525</v>
      </c>
      <c r="D160" t="s">
        <v>204</v>
      </c>
      <c r="E160" t="s">
        <v>225</v>
      </c>
      <c r="F160">
        <v>28974.03</v>
      </c>
      <c r="G160" t="s">
        <v>235</v>
      </c>
      <c r="H160" s="5">
        <v>43733</v>
      </c>
      <c r="I160">
        <v>1</v>
      </c>
      <c r="J160" t="s">
        <v>199</v>
      </c>
      <c r="K160" t="s">
        <v>244</v>
      </c>
      <c r="L160">
        <v>6.2465753424657535</v>
      </c>
      <c r="M160" t="s">
        <v>201</v>
      </c>
      <c r="N160">
        <v>2019</v>
      </c>
    </row>
    <row r="161" spans="1:14" x14ac:dyDescent="0.25">
      <c r="A161" t="s">
        <v>526</v>
      </c>
      <c r="B161" t="s">
        <v>842</v>
      </c>
      <c r="C161" t="s">
        <v>527</v>
      </c>
      <c r="D161" t="s">
        <v>204</v>
      </c>
      <c r="E161" t="s">
        <v>205</v>
      </c>
      <c r="F161">
        <v>86233.83</v>
      </c>
      <c r="G161" t="s">
        <v>206</v>
      </c>
      <c r="H161" s="5">
        <v>43706</v>
      </c>
      <c r="I161">
        <v>1</v>
      </c>
      <c r="J161" t="s">
        <v>215</v>
      </c>
      <c r="K161" t="s">
        <v>249</v>
      </c>
      <c r="L161">
        <v>6.3205479452054796</v>
      </c>
      <c r="M161" t="s">
        <v>201</v>
      </c>
      <c r="N161">
        <v>2019</v>
      </c>
    </row>
    <row r="162" spans="1:14" x14ac:dyDescent="0.25">
      <c r="A162" t="s">
        <v>355</v>
      </c>
      <c r="B162" t="s">
        <v>755</v>
      </c>
      <c r="C162" t="s">
        <v>356</v>
      </c>
      <c r="D162" t="s">
        <v>204</v>
      </c>
      <c r="E162" t="s">
        <v>277</v>
      </c>
      <c r="F162">
        <v>66865.490000000005</v>
      </c>
      <c r="G162" t="s">
        <v>206</v>
      </c>
      <c r="H162" s="5">
        <v>43514</v>
      </c>
      <c r="I162">
        <v>1</v>
      </c>
      <c r="J162" t="s">
        <v>199</v>
      </c>
      <c r="K162" t="s">
        <v>207</v>
      </c>
      <c r="L162">
        <v>6.8465753424657532</v>
      </c>
      <c r="M162" t="s">
        <v>201</v>
      </c>
      <c r="N162">
        <v>2019</v>
      </c>
    </row>
    <row r="163" spans="1:14" x14ac:dyDescent="0.25">
      <c r="A163" t="s">
        <v>528</v>
      </c>
      <c r="B163" t="s">
        <v>843</v>
      </c>
      <c r="C163" t="s">
        <v>529</v>
      </c>
      <c r="D163" t="s">
        <v>196</v>
      </c>
      <c r="E163" t="s">
        <v>261</v>
      </c>
      <c r="F163">
        <v>119022.49</v>
      </c>
      <c r="G163" t="s">
        <v>198</v>
      </c>
      <c r="H163" s="5">
        <v>44431</v>
      </c>
      <c r="I163">
        <v>1</v>
      </c>
      <c r="J163" t="s">
        <v>199</v>
      </c>
      <c r="K163" t="s">
        <v>244</v>
      </c>
      <c r="L163">
        <v>4.3342465753424655</v>
      </c>
      <c r="M163" t="s">
        <v>201</v>
      </c>
      <c r="N163">
        <v>2021</v>
      </c>
    </row>
    <row r="164" spans="1:14" x14ac:dyDescent="0.25">
      <c r="A164" t="s">
        <v>530</v>
      </c>
      <c r="B164" t="s">
        <v>844</v>
      </c>
      <c r="C164" t="s">
        <v>531</v>
      </c>
      <c r="D164" t="s">
        <v>204</v>
      </c>
      <c r="E164" t="s">
        <v>261</v>
      </c>
      <c r="F164">
        <v>114177.23</v>
      </c>
      <c r="G164" t="s">
        <v>198</v>
      </c>
      <c r="H164" s="5">
        <v>43908</v>
      </c>
      <c r="I164">
        <v>1</v>
      </c>
      <c r="J164" t="s">
        <v>199</v>
      </c>
      <c r="K164" t="s">
        <v>221</v>
      </c>
      <c r="L164">
        <v>5.7671232876712333</v>
      </c>
      <c r="M164" t="s">
        <v>201</v>
      </c>
      <c r="N164">
        <v>2020</v>
      </c>
    </row>
    <row r="165" spans="1:14" x14ac:dyDescent="0.25">
      <c r="A165" t="s">
        <v>532</v>
      </c>
      <c r="B165" t="s">
        <v>845</v>
      </c>
      <c r="C165" t="s">
        <v>533</v>
      </c>
      <c r="D165" t="s">
        <v>204</v>
      </c>
      <c r="E165" t="s">
        <v>258</v>
      </c>
      <c r="F165">
        <v>100731.95</v>
      </c>
      <c r="G165" t="s">
        <v>198</v>
      </c>
      <c r="H165" s="5">
        <v>43936</v>
      </c>
      <c r="I165">
        <v>1</v>
      </c>
      <c r="J165" t="s">
        <v>199</v>
      </c>
      <c r="K165" t="s">
        <v>244</v>
      </c>
      <c r="L165">
        <v>5.6904109589041099</v>
      </c>
      <c r="M165" t="s">
        <v>201</v>
      </c>
      <c r="N165">
        <v>2020</v>
      </c>
    </row>
    <row r="166" spans="1:14" x14ac:dyDescent="0.25">
      <c r="A166" t="s">
        <v>534</v>
      </c>
      <c r="B166" t="s">
        <v>846</v>
      </c>
      <c r="C166" t="s">
        <v>535</v>
      </c>
      <c r="D166" t="s">
        <v>204</v>
      </c>
      <c r="E166" t="s">
        <v>214</v>
      </c>
      <c r="F166">
        <v>86010.54</v>
      </c>
      <c r="G166" t="s">
        <v>206</v>
      </c>
      <c r="H166" s="5">
        <v>43164</v>
      </c>
      <c r="I166">
        <v>1</v>
      </c>
      <c r="J166" t="s">
        <v>199</v>
      </c>
      <c r="K166" t="s">
        <v>249</v>
      </c>
      <c r="L166">
        <v>7.8054794520547945</v>
      </c>
      <c r="M166" t="s">
        <v>201</v>
      </c>
      <c r="N166">
        <v>2018</v>
      </c>
    </row>
    <row r="167" spans="1:14" x14ac:dyDescent="0.25">
      <c r="A167" t="s">
        <v>536</v>
      </c>
      <c r="B167" t="s">
        <v>847</v>
      </c>
      <c r="C167" t="s">
        <v>537</v>
      </c>
      <c r="D167" t="s">
        <v>196</v>
      </c>
      <c r="E167" t="s">
        <v>261</v>
      </c>
      <c r="F167">
        <v>52270.22</v>
      </c>
      <c r="G167" t="s">
        <v>206</v>
      </c>
      <c r="H167" s="5">
        <v>43521</v>
      </c>
      <c r="I167">
        <v>0.3</v>
      </c>
      <c r="J167" t="s">
        <v>199</v>
      </c>
      <c r="K167" t="s">
        <v>249</v>
      </c>
      <c r="L167">
        <v>6.8273972602739725</v>
      </c>
      <c r="M167" t="s">
        <v>208</v>
      </c>
      <c r="N167">
        <v>2019</v>
      </c>
    </row>
    <row r="168" spans="1:14" x14ac:dyDescent="0.25">
      <c r="A168" t="s">
        <v>538</v>
      </c>
      <c r="B168" t="s">
        <v>848</v>
      </c>
      <c r="C168" t="s">
        <v>539</v>
      </c>
      <c r="D168" t="s">
        <v>196</v>
      </c>
      <c r="E168" t="s">
        <v>197</v>
      </c>
      <c r="F168">
        <v>61624.77</v>
      </c>
      <c r="G168" t="s">
        <v>206</v>
      </c>
      <c r="H168" s="5">
        <v>43430</v>
      </c>
      <c r="I168">
        <v>0.3</v>
      </c>
      <c r="J168" t="s">
        <v>215</v>
      </c>
      <c r="K168" t="s">
        <v>218</v>
      </c>
      <c r="L168">
        <v>7.0767123287671234</v>
      </c>
      <c r="M168" t="s">
        <v>208</v>
      </c>
      <c r="N168">
        <v>2018</v>
      </c>
    </row>
    <row r="169" spans="1:14" x14ac:dyDescent="0.25">
      <c r="A169" t="s">
        <v>540</v>
      </c>
      <c r="B169" t="s">
        <v>849</v>
      </c>
      <c r="C169" t="s">
        <v>541</v>
      </c>
      <c r="D169" t="s">
        <v>204</v>
      </c>
      <c r="E169" t="s">
        <v>228</v>
      </c>
      <c r="F169">
        <v>104903.79</v>
      </c>
      <c r="G169" t="s">
        <v>198</v>
      </c>
      <c r="H169" s="5">
        <v>43649</v>
      </c>
      <c r="I169">
        <v>1</v>
      </c>
      <c r="J169" t="s">
        <v>199</v>
      </c>
      <c r="K169" t="s">
        <v>249</v>
      </c>
      <c r="L169">
        <v>6.4767123287671229</v>
      </c>
      <c r="M169" t="s">
        <v>201</v>
      </c>
      <c r="N169">
        <v>2019</v>
      </c>
    </row>
    <row r="170" spans="1:14" x14ac:dyDescent="0.25">
      <c r="A170" t="s">
        <v>351</v>
      </c>
      <c r="B170" t="s">
        <v>753</v>
      </c>
      <c r="C170" t="s">
        <v>352</v>
      </c>
      <c r="D170" t="s">
        <v>204</v>
      </c>
      <c r="E170" t="s">
        <v>211</v>
      </c>
      <c r="F170">
        <v>69057.320000000007</v>
      </c>
      <c r="G170" t="s">
        <v>206</v>
      </c>
      <c r="H170" s="5">
        <v>43390</v>
      </c>
      <c r="I170">
        <v>1</v>
      </c>
      <c r="J170" t="s">
        <v>199</v>
      </c>
      <c r="K170" t="s">
        <v>221</v>
      </c>
      <c r="L170">
        <v>7.1863013698630134</v>
      </c>
      <c r="M170" t="s">
        <v>201</v>
      </c>
      <c r="N170">
        <v>2018</v>
      </c>
    </row>
    <row r="171" spans="1:14" x14ac:dyDescent="0.25">
      <c r="A171" t="s">
        <v>413</v>
      </c>
      <c r="B171" t="s">
        <v>784</v>
      </c>
      <c r="C171" t="s">
        <v>414</v>
      </c>
      <c r="D171" t="s">
        <v>196</v>
      </c>
      <c r="E171" t="s">
        <v>225</v>
      </c>
      <c r="F171">
        <v>59258.19</v>
      </c>
      <c r="G171" t="s">
        <v>206</v>
      </c>
      <c r="H171" s="5">
        <v>43452</v>
      </c>
      <c r="I171">
        <v>0.8</v>
      </c>
      <c r="J171" t="s">
        <v>199</v>
      </c>
      <c r="K171" t="s">
        <v>207</v>
      </c>
      <c r="L171">
        <v>7.0164383561643833</v>
      </c>
      <c r="M171" t="s">
        <v>208</v>
      </c>
      <c r="N171">
        <v>2018</v>
      </c>
    </row>
    <row r="172" spans="1:14" x14ac:dyDescent="0.25">
      <c r="A172" t="s">
        <v>542</v>
      </c>
      <c r="B172" t="s">
        <v>850</v>
      </c>
      <c r="C172" t="s">
        <v>543</v>
      </c>
      <c r="D172" t="s">
        <v>196</v>
      </c>
      <c r="E172" t="s">
        <v>697</v>
      </c>
      <c r="F172">
        <v>28160.79</v>
      </c>
      <c r="G172" t="s">
        <v>235</v>
      </c>
      <c r="H172" s="5">
        <v>43129</v>
      </c>
      <c r="I172">
        <v>1</v>
      </c>
      <c r="J172" t="s">
        <v>243</v>
      </c>
      <c r="K172" t="s">
        <v>200</v>
      </c>
      <c r="L172">
        <v>7.9013698630136986</v>
      </c>
      <c r="M172" t="s">
        <v>201</v>
      </c>
      <c r="N172">
        <v>2018</v>
      </c>
    </row>
    <row r="173" spans="1:14" x14ac:dyDescent="0.25">
      <c r="A173" t="s">
        <v>544</v>
      </c>
      <c r="B173" t="s">
        <v>851</v>
      </c>
      <c r="C173" t="s">
        <v>545</v>
      </c>
      <c r="D173" t="s">
        <v>196</v>
      </c>
      <c r="E173" t="s">
        <v>197</v>
      </c>
      <c r="F173">
        <v>109143.17</v>
      </c>
      <c r="G173" t="s">
        <v>198</v>
      </c>
      <c r="H173" s="5">
        <v>43945</v>
      </c>
      <c r="I173">
        <v>1</v>
      </c>
      <c r="J173" t="s">
        <v>199</v>
      </c>
      <c r="K173" t="s">
        <v>221</v>
      </c>
      <c r="L173">
        <v>5.6657534246575345</v>
      </c>
      <c r="M173" t="s">
        <v>201</v>
      </c>
      <c r="N173">
        <v>2020</v>
      </c>
    </row>
    <row r="174" spans="1:14" x14ac:dyDescent="0.25">
      <c r="A174" t="s">
        <v>546</v>
      </c>
      <c r="B174" t="s">
        <v>852</v>
      </c>
      <c r="C174" t="s">
        <v>547</v>
      </c>
      <c r="D174" t="s">
        <v>204</v>
      </c>
      <c r="E174" t="s">
        <v>228</v>
      </c>
      <c r="F174">
        <v>70755.5</v>
      </c>
      <c r="G174" t="s">
        <v>206</v>
      </c>
      <c r="H174" s="5">
        <v>44090</v>
      </c>
      <c r="I174">
        <v>0.8</v>
      </c>
      <c r="J174" t="s">
        <v>243</v>
      </c>
      <c r="K174" t="s">
        <v>218</v>
      </c>
      <c r="L174">
        <v>5.2684931506849315</v>
      </c>
      <c r="M174" t="s">
        <v>208</v>
      </c>
      <c r="N174">
        <v>2020</v>
      </c>
    </row>
    <row r="175" spans="1:14" x14ac:dyDescent="0.25">
      <c r="A175" t="s">
        <v>287</v>
      </c>
      <c r="B175" t="s">
        <v>721</v>
      </c>
      <c r="C175" t="s">
        <v>288</v>
      </c>
      <c r="D175" t="s">
        <v>196</v>
      </c>
      <c r="E175" t="s">
        <v>205</v>
      </c>
      <c r="F175">
        <v>73360.38</v>
      </c>
      <c r="G175" t="s">
        <v>206</v>
      </c>
      <c r="H175" s="5">
        <v>43972</v>
      </c>
      <c r="I175">
        <v>1</v>
      </c>
      <c r="J175" t="s">
        <v>243</v>
      </c>
      <c r="K175" t="s">
        <v>200</v>
      </c>
      <c r="L175">
        <v>5.5917808219178085</v>
      </c>
      <c r="M175" t="s">
        <v>201</v>
      </c>
      <c r="N175">
        <v>2020</v>
      </c>
    </row>
    <row r="176" spans="1:14" x14ac:dyDescent="0.25">
      <c r="A176" t="s">
        <v>460</v>
      </c>
      <c r="B176" t="s">
        <v>853</v>
      </c>
      <c r="C176" t="s">
        <v>548</v>
      </c>
      <c r="D176" t="s">
        <v>204</v>
      </c>
      <c r="E176" t="s">
        <v>261</v>
      </c>
      <c r="F176">
        <v>76303.820000000007</v>
      </c>
      <c r="G176" t="s">
        <v>206</v>
      </c>
      <c r="H176" s="5">
        <v>43458</v>
      </c>
      <c r="I176">
        <v>1</v>
      </c>
      <c r="J176" t="s">
        <v>215</v>
      </c>
      <c r="K176" t="s">
        <v>218</v>
      </c>
      <c r="L176">
        <v>7</v>
      </c>
      <c r="M176" t="s">
        <v>201</v>
      </c>
      <c r="N176">
        <v>2018</v>
      </c>
    </row>
    <row r="177" spans="1:14" x14ac:dyDescent="0.25">
      <c r="A177" t="s">
        <v>549</v>
      </c>
      <c r="B177" t="s">
        <v>854</v>
      </c>
      <c r="C177" t="s">
        <v>550</v>
      </c>
      <c r="D177" t="s">
        <v>204</v>
      </c>
      <c r="E177" t="s">
        <v>197</v>
      </c>
      <c r="F177">
        <v>58861.19</v>
      </c>
      <c r="G177" t="s">
        <v>206</v>
      </c>
      <c r="H177" s="5">
        <v>43654</v>
      </c>
      <c r="I177">
        <v>1</v>
      </c>
      <c r="J177" t="s">
        <v>199</v>
      </c>
      <c r="K177" t="s">
        <v>240</v>
      </c>
      <c r="L177">
        <v>6.463013698630137</v>
      </c>
      <c r="M177" t="s">
        <v>201</v>
      </c>
      <c r="N177">
        <v>2019</v>
      </c>
    </row>
    <row r="178" spans="1:14" x14ac:dyDescent="0.25">
      <c r="A178" t="s">
        <v>551</v>
      </c>
      <c r="B178" t="s">
        <v>855</v>
      </c>
      <c r="C178" t="s">
        <v>552</v>
      </c>
      <c r="D178" t="s">
        <v>204</v>
      </c>
      <c r="E178" t="s">
        <v>214</v>
      </c>
      <c r="F178">
        <v>58744.17</v>
      </c>
      <c r="G178" t="s">
        <v>206</v>
      </c>
      <c r="H178" s="5">
        <v>43171</v>
      </c>
      <c r="I178">
        <v>1</v>
      </c>
      <c r="J178" t="s">
        <v>243</v>
      </c>
      <c r="K178" t="s">
        <v>240</v>
      </c>
      <c r="L178">
        <v>7.7863013698630139</v>
      </c>
      <c r="M178" t="s">
        <v>201</v>
      </c>
      <c r="N178">
        <v>2018</v>
      </c>
    </row>
    <row r="179" spans="1:14" x14ac:dyDescent="0.25">
      <c r="A179" t="s">
        <v>553</v>
      </c>
      <c r="B179" t="s">
        <v>856</v>
      </c>
      <c r="C179" t="s">
        <v>554</v>
      </c>
      <c r="D179" t="s">
        <v>204</v>
      </c>
      <c r="E179" t="s">
        <v>258</v>
      </c>
      <c r="F179">
        <v>73488.679999999993</v>
      </c>
      <c r="G179" t="s">
        <v>206</v>
      </c>
      <c r="H179" s="5">
        <v>43570</v>
      </c>
      <c r="I179">
        <v>1</v>
      </c>
      <c r="J179" t="s">
        <v>215</v>
      </c>
      <c r="K179" t="s">
        <v>207</v>
      </c>
      <c r="L179">
        <v>6.6931506849315072</v>
      </c>
      <c r="M179" t="s">
        <v>201</v>
      </c>
      <c r="N179">
        <v>2019</v>
      </c>
    </row>
    <row r="180" spans="1:14" x14ac:dyDescent="0.25">
      <c r="A180" t="s">
        <v>555</v>
      </c>
      <c r="B180" t="s">
        <v>857</v>
      </c>
      <c r="C180" t="s">
        <v>556</v>
      </c>
      <c r="D180" t="s">
        <v>204</v>
      </c>
      <c r="E180" t="s">
        <v>258</v>
      </c>
      <c r="F180">
        <v>92704.48</v>
      </c>
      <c r="G180" t="s">
        <v>206</v>
      </c>
      <c r="H180" s="5">
        <v>43430</v>
      </c>
      <c r="I180">
        <v>1</v>
      </c>
      <c r="J180" t="s">
        <v>215</v>
      </c>
      <c r="K180" t="s">
        <v>240</v>
      </c>
      <c r="L180">
        <v>7.0767123287671234</v>
      </c>
      <c r="M180" t="s">
        <v>201</v>
      </c>
      <c r="N180">
        <v>2018</v>
      </c>
    </row>
    <row r="181" spans="1:14" x14ac:dyDescent="0.25">
      <c r="A181" t="s">
        <v>557</v>
      </c>
      <c r="B181" t="s">
        <v>858</v>
      </c>
      <c r="C181" t="s">
        <v>558</v>
      </c>
      <c r="D181" t="s">
        <v>196</v>
      </c>
      <c r="E181" t="s">
        <v>197</v>
      </c>
      <c r="F181">
        <v>78443.78</v>
      </c>
      <c r="G181" t="s">
        <v>206</v>
      </c>
      <c r="H181" s="5">
        <v>43599</v>
      </c>
      <c r="I181">
        <v>1</v>
      </c>
      <c r="J181" t="s">
        <v>215</v>
      </c>
      <c r="K181" t="s">
        <v>218</v>
      </c>
      <c r="L181">
        <v>6.6136986301369864</v>
      </c>
      <c r="M181" t="s">
        <v>201</v>
      </c>
      <c r="N181">
        <v>2019</v>
      </c>
    </row>
    <row r="182" spans="1:14" x14ac:dyDescent="0.25">
      <c r="A182" t="s">
        <v>559</v>
      </c>
      <c r="B182" t="s">
        <v>859</v>
      </c>
      <c r="C182" t="s">
        <v>560</v>
      </c>
      <c r="D182" t="s">
        <v>204</v>
      </c>
      <c r="E182" t="s">
        <v>197</v>
      </c>
      <c r="F182">
        <v>97105.19</v>
      </c>
      <c r="G182" t="s">
        <v>206</v>
      </c>
      <c r="H182" s="5">
        <v>44425</v>
      </c>
      <c r="I182">
        <v>1</v>
      </c>
      <c r="J182" t="s">
        <v>199</v>
      </c>
      <c r="K182" t="s">
        <v>240</v>
      </c>
      <c r="L182">
        <v>4.3506849315068497</v>
      </c>
      <c r="M182" t="s">
        <v>201</v>
      </c>
      <c r="N182">
        <v>2021</v>
      </c>
    </row>
    <row r="183" spans="1:14" x14ac:dyDescent="0.25">
      <c r="A183" t="s">
        <v>561</v>
      </c>
      <c r="B183" t="s">
        <v>860</v>
      </c>
      <c r="C183" t="s">
        <v>562</v>
      </c>
      <c r="D183" t="s">
        <v>204</v>
      </c>
      <c r="E183" t="s">
        <v>211</v>
      </c>
      <c r="F183">
        <v>109163.39</v>
      </c>
      <c r="G183" t="s">
        <v>198</v>
      </c>
      <c r="H183" s="5">
        <v>44019</v>
      </c>
      <c r="I183">
        <v>0.8</v>
      </c>
      <c r="J183" t="s">
        <v>199</v>
      </c>
      <c r="K183" t="s">
        <v>207</v>
      </c>
      <c r="L183">
        <v>5.463013698630137</v>
      </c>
      <c r="M183" t="s">
        <v>208</v>
      </c>
      <c r="N183">
        <v>2020</v>
      </c>
    </row>
    <row r="184" spans="1:14" x14ac:dyDescent="0.25">
      <c r="A184" t="s">
        <v>563</v>
      </c>
      <c r="B184" t="s">
        <v>861</v>
      </c>
      <c r="C184" t="s">
        <v>564</v>
      </c>
      <c r="D184" t="s">
        <v>196</v>
      </c>
      <c r="E184" t="s">
        <v>228</v>
      </c>
      <c r="F184">
        <v>31816.57</v>
      </c>
      <c r="G184" t="s">
        <v>235</v>
      </c>
      <c r="H184" s="5">
        <v>43497</v>
      </c>
      <c r="I184">
        <v>0.3</v>
      </c>
      <c r="J184" t="s">
        <v>215</v>
      </c>
      <c r="K184" t="s">
        <v>200</v>
      </c>
      <c r="L184">
        <v>6.8931506849315065</v>
      </c>
      <c r="M184" t="s">
        <v>208</v>
      </c>
      <c r="N184">
        <v>2019</v>
      </c>
    </row>
    <row r="185" spans="1:14" x14ac:dyDescent="0.25">
      <c r="A185" t="s">
        <v>565</v>
      </c>
      <c r="B185" t="s">
        <v>862</v>
      </c>
      <c r="C185" t="s">
        <v>566</v>
      </c>
      <c r="D185" t="s">
        <v>204</v>
      </c>
      <c r="E185" t="s">
        <v>197</v>
      </c>
      <c r="F185">
        <v>118442.54</v>
      </c>
      <c r="G185" t="s">
        <v>198</v>
      </c>
      <c r="H185" s="5">
        <v>44193</v>
      </c>
      <c r="I185">
        <v>1</v>
      </c>
      <c r="J185" t="s">
        <v>199</v>
      </c>
      <c r="K185" t="s">
        <v>244</v>
      </c>
      <c r="L185">
        <v>4.9863013698630141</v>
      </c>
      <c r="M185" t="s">
        <v>201</v>
      </c>
      <c r="N185">
        <v>2020</v>
      </c>
    </row>
    <row r="186" spans="1:14" x14ac:dyDescent="0.25">
      <c r="A186" t="s">
        <v>567</v>
      </c>
      <c r="B186" t="s">
        <v>863</v>
      </c>
      <c r="C186" t="s">
        <v>568</v>
      </c>
      <c r="D186" t="s">
        <v>204</v>
      </c>
      <c r="E186" t="s">
        <v>214</v>
      </c>
      <c r="F186">
        <v>84745.93</v>
      </c>
      <c r="G186" t="s">
        <v>206</v>
      </c>
      <c r="H186" s="5">
        <v>43707</v>
      </c>
      <c r="I186">
        <v>1</v>
      </c>
      <c r="J186" t="s">
        <v>199</v>
      </c>
      <c r="K186" t="s">
        <v>221</v>
      </c>
      <c r="L186">
        <v>6.3178082191780822</v>
      </c>
      <c r="M186" t="s">
        <v>201</v>
      </c>
      <c r="N186">
        <v>2019</v>
      </c>
    </row>
    <row r="187" spans="1:14" x14ac:dyDescent="0.25">
      <c r="A187" t="s">
        <v>299</v>
      </c>
      <c r="B187" t="s">
        <v>727</v>
      </c>
      <c r="C187" t="s">
        <v>300</v>
      </c>
      <c r="D187" t="s">
        <v>204</v>
      </c>
      <c r="E187" t="s">
        <v>261</v>
      </c>
      <c r="F187">
        <v>69163.39</v>
      </c>
      <c r="G187" t="s">
        <v>206</v>
      </c>
      <c r="H187" s="5">
        <v>43397</v>
      </c>
      <c r="I187">
        <v>1</v>
      </c>
      <c r="J187" t="s">
        <v>199</v>
      </c>
      <c r="K187" t="s">
        <v>200</v>
      </c>
      <c r="L187">
        <v>7.1671232876712327</v>
      </c>
      <c r="M187" t="s">
        <v>201</v>
      </c>
      <c r="N187">
        <v>2018</v>
      </c>
    </row>
    <row r="188" spans="1:14" x14ac:dyDescent="0.25">
      <c r="A188" t="s">
        <v>513</v>
      </c>
      <c r="B188" t="s">
        <v>835</v>
      </c>
      <c r="C188" t="s">
        <v>514</v>
      </c>
      <c r="D188" t="s">
        <v>204</v>
      </c>
      <c r="E188" t="s">
        <v>264</v>
      </c>
      <c r="F188">
        <v>84598.88</v>
      </c>
      <c r="G188" t="s">
        <v>206</v>
      </c>
      <c r="H188" s="5">
        <v>44116</v>
      </c>
      <c r="I188">
        <v>1</v>
      </c>
      <c r="J188" t="s">
        <v>215</v>
      </c>
      <c r="K188" t="s">
        <v>207</v>
      </c>
      <c r="L188">
        <v>5.1972602739726028</v>
      </c>
      <c r="M188" t="s">
        <v>201</v>
      </c>
      <c r="N188">
        <v>2020</v>
      </c>
    </row>
    <row r="189" spans="1:14" x14ac:dyDescent="0.25">
      <c r="A189" t="s">
        <v>569</v>
      </c>
      <c r="B189" t="s">
        <v>864</v>
      </c>
      <c r="C189" t="s">
        <v>570</v>
      </c>
      <c r="D189" t="s">
        <v>204</v>
      </c>
      <c r="E189" t="s">
        <v>277</v>
      </c>
      <c r="F189">
        <v>68795.48</v>
      </c>
      <c r="G189" t="s">
        <v>206</v>
      </c>
      <c r="H189" s="5">
        <v>44277</v>
      </c>
      <c r="I189">
        <v>0.2</v>
      </c>
      <c r="J189" t="s">
        <v>199</v>
      </c>
      <c r="K189" t="s">
        <v>200</v>
      </c>
      <c r="L189">
        <v>4.7561643835616438</v>
      </c>
      <c r="M189" t="s">
        <v>208</v>
      </c>
      <c r="N189">
        <v>2021</v>
      </c>
    </row>
    <row r="190" spans="1:14" x14ac:dyDescent="0.25">
      <c r="A190" t="s">
        <v>571</v>
      </c>
      <c r="B190" t="s">
        <v>865</v>
      </c>
      <c r="C190" t="s">
        <v>572</v>
      </c>
      <c r="D190" t="s">
        <v>204</v>
      </c>
      <c r="E190" t="s">
        <v>211</v>
      </c>
      <c r="F190">
        <v>32269.91</v>
      </c>
      <c r="G190" t="s">
        <v>235</v>
      </c>
      <c r="H190" s="5">
        <v>43346</v>
      </c>
      <c r="I190">
        <v>1</v>
      </c>
      <c r="J190" t="s">
        <v>199</v>
      </c>
      <c r="K190" t="s">
        <v>200</v>
      </c>
      <c r="L190">
        <v>7.3068493150684928</v>
      </c>
      <c r="M190" t="s">
        <v>201</v>
      </c>
      <c r="N190">
        <v>2018</v>
      </c>
    </row>
    <row r="191" spans="1:14" x14ac:dyDescent="0.25">
      <c r="A191" t="s">
        <v>573</v>
      </c>
      <c r="B191" t="s">
        <v>866</v>
      </c>
      <c r="C191" t="s">
        <v>574</v>
      </c>
      <c r="D191" t="s">
        <v>196</v>
      </c>
      <c r="E191" t="s">
        <v>697</v>
      </c>
      <c r="F191">
        <v>78705.929999999993</v>
      </c>
      <c r="G191" t="s">
        <v>206</v>
      </c>
      <c r="H191" s="5">
        <v>43409</v>
      </c>
      <c r="I191">
        <v>1</v>
      </c>
      <c r="J191" t="s">
        <v>215</v>
      </c>
      <c r="K191" t="s">
        <v>207</v>
      </c>
      <c r="L191">
        <v>7.1342465753424653</v>
      </c>
      <c r="M191" t="s">
        <v>201</v>
      </c>
      <c r="N191">
        <v>2018</v>
      </c>
    </row>
    <row r="192" spans="1:14" x14ac:dyDescent="0.25">
      <c r="A192" t="s">
        <v>575</v>
      </c>
      <c r="B192" t="s">
        <v>867</v>
      </c>
      <c r="C192" t="s">
        <v>576</v>
      </c>
      <c r="D192" t="s">
        <v>196</v>
      </c>
      <c r="E192" t="s">
        <v>228</v>
      </c>
      <c r="F192">
        <v>53535.62</v>
      </c>
      <c r="G192" t="s">
        <v>206</v>
      </c>
      <c r="H192" s="5">
        <v>44110</v>
      </c>
      <c r="I192">
        <v>0.5</v>
      </c>
      <c r="J192" t="s">
        <v>215</v>
      </c>
      <c r="K192" t="s">
        <v>207</v>
      </c>
      <c r="L192">
        <v>5.2136986301369861</v>
      </c>
      <c r="M192" t="s">
        <v>208</v>
      </c>
      <c r="N192">
        <v>2020</v>
      </c>
    </row>
    <row r="193" spans="1:14" x14ac:dyDescent="0.25">
      <c r="A193" t="s">
        <v>577</v>
      </c>
      <c r="B193" t="s">
        <v>781</v>
      </c>
      <c r="C193" t="s">
        <v>408</v>
      </c>
      <c r="D193" t="s">
        <v>204</v>
      </c>
      <c r="E193" t="s">
        <v>264</v>
      </c>
      <c r="F193">
        <v>41934.71</v>
      </c>
      <c r="G193" t="s">
        <v>235</v>
      </c>
      <c r="H193" s="5">
        <v>43780</v>
      </c>
      <c r="I193">
        <v>1</v>
      </c>
      <c r="J193" t="s">
        <v>199</v>
      </c>
      <c r="K193" t="s">
        <v>200</v>
      </c>
      <c r="L193">
        <v>6.117808219178082</v>
      </c>
      <c r="M193" t="s">
        <v>201</v>
      </c>
      <c r="N193">
        <v>2019</v>
      </c>
    </row>
    <row r="194" spans="1:14" x14ac:dyDescent="0.25">
      <c r="A194" t="s">
        <v>578</v>
      </c>
      <c r="B194" t="s">
        <v>754</v>
      </c>
      <c r="C194" t="s">
        <v>579</v>
      </c>
      <c r="D194" t="s">
        <v>204</v>
      </c>
      <c r="E194" t="s">
        <v>277</v>
      </c>
      <c r="F194">
        <v>91929.69</v>
      </c>
      <c r="G194" t="s">
        <v>206</v>
      </c>
      <c r="H194" s="5">
        <v>44085</v>
      </c>
      <c r="I194">
        <v>1</v>
      </c>
      <c r="J194" t="s">
        <v>215</v>
      </c>
      <c r="K194" t="s">
        <v>200</v>
      </c>
      <c r="L194">
        <v>5.2821917808219174</v>
      </c>
      <c r="M194" t="s">
        <v>201</v>
      </c>
      <c r="N194">
        <v>2020</v>
      </c>
    </row>
    <row r="195" spans="1:14" x14ac:dyDescent="0.25">
      <c r="A195" t="s">
        <v>580</v>
      </c>
      <c r="B195" t="s">
        <v>868</v>
      </c>
      <c r="C195" t="s">
        <v>581</v>
      </c>
      <c r="D195" t="s">
        <v>196</v>
      </c>
      <c r="E195" t="s">
        <v>697</v>
      </c>
      <c r="F195">
        <v>62281.24</v>
      </c>
      <c r="G195" t="s">
        <v>206</v>
      </c>
      <c r="H195" s="5">
        <v>43272</v>
      </c>
      <c r="I195">
        <v>1</v>
      </c>
      <c r="J195" t="s">
        <v>199</v>
      </c>
      <c r="K195" t="s">
        <v>200</v>
      </c>
      <c r="L195">
        <v>7.5095890410958903</v>
      </c>
      <c r="M195" t="s">
        <v>201</v>
      </c>
      <c r="N195">
        <v>2018</v>
      </c>
    </row>
    <row r="196" spans="1:14" x14ac:dyDescent="0.25">
      <c r="A196" t="s">
        <v>582</v>
      </c>
      <c r="B196" t="s">
        <v>869</v>
      </c>
      <c r="C196" t="s">
        <v>583</v>
      </c>
      <c r="D196" t="s">
        <v>196</v>
      </c>
      <c r="E196" t="s">
        <v>261</v>
      </c>
      <c r="F196">
        <v>57925.91</v>
      </c>
      <c r="G196" t="s">
        <v>206</v>
      </c>
      <c r="H196" s="5">
        <v>43572</v>
      </c>
      <c r="I196">
        <v>0.5</v>
      </c>
      <c r="J196" t="s">
        <v>199</v>
      </c>
      <c r="K196" t="s">
        <v>221</v>
      </c>
      <c r="L196">
        <v>6.6876712328767125</v>
      </c>
      <c r="M196" t="s">
        <v>208</v>
      </c>
      <c r="N196">
        <v>2019</v>
      </c>
    </row>
    <row r="197" spans="1:14" x14ac:dyDescent="0.25">
      <c r="A197" t="s">
        <v>584</v>
      </c>
      <c r="B197" t="s">
        <v>870</v>
      </c>
      <c r="C197" t="s">
        <v>585</v>
      </c>
      <c r="D197" t="s">
        <v>196</v>
      </c>
      <c r="E197" t="s">
        <v>197</v>
      </c>
      <c r="F197">
        <v>82239.53</v>
      </c>
      <c r="G197" t="s">
        <v>206</v>
      </c>
      <c r="H197" s="5">
        <v>43846</v>
      </c>
      <c r="I197">
        <v>1</v>
      </c>
      <c r="J197" t="s">
        <v>243</v>
      </c>
      <c r="K197" t="s">
        <v>240</v>
      </c>
      <c r="L197">
        <v>5.9369863013698634</v>
      </c>
      <c r="M197" t="s">
        <v>201</v>
      </c>
      <c r="N197">
        <v>2020</v>
      </c>
    </row>
    <row r="198" spans="1:14" x14ac:dyDescent="0.25">
      <c r="A198" t="s">
        <v>586</v>
      </c>
      <c r="B198" t="s">
        <v>871</v>
      </c>
      <c r="C198" t="s">
        <v>587</v>
      </c>
      <c r="D198" t="s">
        <v>196</v>
      </c>
      <c r="E198" t="s">
        <v>197</v>
      </c>
      <c r="F198">
        <v>53184.02</v>
      </c>
      <c r="G198" t="s">
        <v>206</v>
      </c>
      <c r="H198" s="5">
        <v>43180</v>
      </c>
      <c r="I198">
        <v>1</v>
      </c>
      <c r="J198" t="s">
        <v>215</v>
      </c>
      <c r="K198" t="s">
        <v>200</v>
      </c>
      <c r="L198">
        <v>7.7616438356164386</v>
      </c>
      <c r="M198" t="s">
        <v>201</v>
      </c>
      <c r="N198">
        <v>2018</v>
      </c>
    </row>
    <row r="199" spans="1:14" x14ac:dyDescent="0.25">
      <c r="A199" t="s">
        <v>588</v>
      </c>
      <c r="B199" t="s">
        <v>872</v>
      </c>
      <c r="C199" t="s">
        <v>589</v>
      </c>
      <c r="D199" t="s">
        <v>196</v>
      </c>
      <c r="E199" t="s">
        <v>261</v>
      </c>
      <c r="F199">
        <v>35936.31</v>
      </c>
      <c r="G199" t="s">
        <v>235</v>
      </c>
      <c r="H199" s="5">
        <v>43241</v>
      </c>
      <c r="I199">
        <v>1</v>
      </c>
      <c r="J199" t="s">
        <v>199</v>
      </c>
      <c r="K199" t="s">
        <v>249</v>
      </c>
      <c r="L199">
        <v>7.5945205479452058</v>
      </c>
      <c r="M199" t="s">
        <v>201</v>
      </c>
      <c r="N199">
        <v>2018</v>
      </c>
    </row>
    <row r="200" spans="1:14" x14ac:dyDescent="0.25">
      <c r="A200" t="s">
        <v>590</v>
      </c>
      <c r="B200" t="s">
        <v>873</v>
      </c>
      <c r="C200" t="s">
        <v>591</v>
      </c>
      <c r="D200" t="s">
        <v>204</v>
      </c>
      <c r="E200" t="s">
        <v>211</v>
      </c>
      <c r="F200">
        <v>28305.08</v>
      </c>
      <c r="G200" t="s">
        <v>235</v>
      </c>
      <c r="H200" s="5">
        <v>43754</v>
      </c>
      <c r="I200">
        <v>1</v>
      </c>
      <c r="J200" t="s">
        <v>199</v>
      </c>
      <c r="K200" t="s">
        <v>200</v>
      </c>
      <c r="L200">
        <v>6.1890410958904107</v>
      </c>
      <c r="M200" t="s">
        <v>201</v>
      </c>
      <c r="N200">
        <v>2019</v>
      </c>
    </row>
    <row r="201" spans="1:14" x14ac:dyDescent="0.25">
      <c r="A201" t="s">
        <v>592</v>
      </c>
      <c r="B201" t="s">
        <v>874</v>
      </c>
      <c r="C201" t="s">
        <v>593</v>
      </c>
      <c r="D201" t="s">
        <v>196</v>
      </c>
      <c r="E201" t="s">
        <v>282</v>
      </c>
      <c r="F201">
        <v>29774.76</v>
      </c>
      <c r="G201" t="s">
        <v>235</v>
      </c>
      <c r="H201" s="5">
        <v>44105</v>
      </c>
      <c r="I201">
        <v>1</v>
      </c>
      <c r="J201" t="s">
        <v>199</v>
      </c>
      <c r="K201" t="s">
        <v>221</v>
      </c>
      <c r="L201">
        <v>5.2273972602739729</v>
      </c>
      <c r="M201" t="s">
        <v>201</v>
      </c>
      <c r="N201">
        <v>2020</v>
      </c>
    </row>
    <row r="202" spans="1:14" x14ac:dyDescent="0.25">
      <c r="A202" t="s">
        <v>594</v>
      </c>
      <c r="B202" t="s">
        <v>875</v>
      </c>
      <c r="C202" t="s">
        <v>595</v>
      </c>
      <c r="D202" t="s">
        <v>196</v>
      </c>
      <c r="E202" t="s">
        <v>261</v>
      </c>
      <c r="F202">
        <v>102515.81</v>
      </c>
      <c r="G202" t="s">
        <v>198</v>
      </c>
      <c r="H202" s="5">
        <v>43902</v>
      </c>
      <c r="I202">
        <v>1</v>
      </c>
      <c r="J202" t="s">
        <v>215</v>
      </c>
      <c r="K202" t="s">
        <v>249</v>
      </c>
      <c r="L202">
        <v>5.7835616438356166</v>
      </c>
      <c r="M202" t="s">
        <v>201</v>
      </c>
      <c r="N202">
        <v>2020</v>
      </c>
    </row>
    <row r="203" spans="1:14" x14ac:dyDescent="0.25">
      <c r="A203" t="s">
        <v>353</v>
      </c>
      <c r="B203" t="s">
        <v>754</v>
      </c>
      <c r="C203" t="s">
        <v>354</v>
      </c>
      <c r="D203" t="s">
        <v>224</v>
      </c>
      <c r="E203" t="s">
        <v>258</v>
      </c>
      <c r="F203">
        <v>99448.78</v>
      </c>
      <c r="G203" t="s">
        <v>206</v>
      </c>
      <c r="H203" s="5">
        <v>43473</v>
      </c>
      <c r="I203">
        <v>1</v>
      </c>
      <c r="J203" t="s">
        <v>215</v>
      </c>
      <c r="K203" t="s">
        <v>221</v>
      </c>
      <c r="L203">
        <v>6.9589041095890414</v>
      </c>
      <c r="M203" t="s">
        <v>201</v>
      </c>
      <c r="N203">
        <v>2019</v>
      </c>
    </row>
    <row r="204" spans="1:14" x14ac:dyDescent="0.25">
      <c r="A204" t="s">
        <v>569</v>
      </c>
      <c r="B204" t="s">
        <v>864</v>
      </c>
      <c r="C204" t="s">
        <v>570</v>
      </c>
      <c r="D204" t="s">
        <v>204</v>
      </c>
      <c r="E204" t="s">
        <v>277</v>
      </c>
      <c r="F204">
        <v>68795.48</v>
      </c>
      <c r="G204" t="s">
        <v>206</v>
      </c>
      <c r="H204" s="5">
        <v>44277</v>
      </c>
      <c r="I204">
        <v>0.2</v>
      </c>
      <c r="J204" t="s">
        <v>199</v>
      </c>
      <c r="K204" t="s">
        <v>200</v>
      </c>
      <c r="L204">
        <v>4.7561643835616438</v>
      </c>
      <c r="M204" t="s">
        <v>208</v>
      </c>
      <c r="N204">
        <v>2021</v>
      </c>
    </row>
    <row r="205" spans="1:14" x14ac:dyDescent="0.25">
      <c r="A205" t="s">
        <v>397</v>
      </c>
      <c r="B205" t="s">
        <v>776</v>
      </c>
      <c r="C205" t="s">
        <v>398</v>
      </c>
      <c r="D205" t="s">
        <v>204</v>
      </c>
      <c r="E205" t="s">
        <v>697</v>
      </c>
      <c r="F205">
        <v>99683.67</v>
      </c>
      <c r="G205" t="s">
        <v>206</v>
      </c>
      <c r="H205" s="5">
        <v>43500</v>
      </c>
      <c r="I205">
        <v>1</v>
      </c>
      <c r="J205" t="s">
        <v>215</v>
      </c>
      <c r="K205" t="s">
        <v>207</v>
      </c>
      <c r="L205">
        <v>6.8849315068493153</v>
      </c>
      <c r="M205" t="s">
        <v>201</v>
      </c>
      <c r="N205">
        <v>2019</v>
      </c>
    </row>
    <row r="206" spans="1:14" x14ac:dyDescent="0.25">
      <c r="A206" t="s">
        <v>596</v>
      </c>
      <c r="B206" t="s">
        <v>876</v>
      </c>
      <c r="C206" t="s">
        <v>597</v>
      </c>
      <c r="D206" t="s">
        <v>196</v>
      </c>
      <c r="E206" t="s">
        <v>261</v>
      </c>
      <c r="F206">
        <v>38825.18</v>
      </c>
      <c r="G206" t="s">
        <v>235</v>
      </c>
      <c r="H206" s="5">
        <v>43696</v>
      </c>
      <c r="I206">
        <v>1</v>
      </c>
      <c r="J206" t="s">
        <v>243</v>
      </c>
      <c r="K206" t="s">
        <v>200</v>
      </c>
      <c r="L206">
        <v>6.3479452054794523</v>
      </c>
      <c r="M206" t="s">
        <v>201</v>
      </c>
      <c r="N206">
        <v>2019</v>
      </c>
    </row>
    <row r="207" spans="1:14" x14ac:dyDescent="0.25">
      <c r="A207" t="s">
        <v>598</v>
      </c>
      <c r="B207" t="s">
        <v>877</v>
      </c>
      <c r="C207" t="s">
        <v>599</v>
      </c>
      <c r="D207" t="s">
        <v>204</v>
      </c>
      <c r="E207" t="s">
        <v>211</v>
      </c>
      <c r="F207">
        <v>71229.42</v>
      </c>
      <c r="G207" t="s">
        <v>206</v>
      </c>
      <c r="H207" s="5">
        <v>44166</v>
      </c>
      <c r="I207">
        <v>1</v>
      </c>
      <c r="J207" t="s">
        <v>199</v>
      </c>
      <c r="K207" t="s">
        <v>218</v>
      </c>
      <c r="L207">
        <v>5.0602739726027401</v>
      </c>
      <c r="M207" t="s">
        <v>201</v>
      </c>
      <c r="N207">
        <v>2020</v>
      </c>
    </row>
    <row r="208" spans="1:14" x14ac:dyDescent="0.25">
      <c r="A208" t="s">
        <v>600</v>
      </c>
      <c r="B208" t="s">
        <v>769</v>
      </c>
      <c r="C208" t="s">
        <v>384</v>
      </c>
      <c r="D208" t="s">
        <v>204</v>
      </c>
      <c r="E208" t="s">
        <v>205</v>
      </c>
      <c r="F208">
        <v>80695.740000000005</v>
      </c>
      <c r="G208" t="s">
        <v>206</v>
      </c>
      <c r="H208" s="5">
        <v>43360</v>
      </c>
      <c r="I208">
        <v>1</v>
      </c>
      <c r="J208" t="s">
        <v>199</v>
      </c>
      <c r="K208" t="s">
        <v>240</v>
      </c>
      <c r="L208">
        <v>7.2684931506849315</v>
      </c>
      <c r="M208" t="s">
        <v>201</v>
      </c>
      <c r="N208">
        <v>2018</v>
      </c>
    </row>
    <row r="209" spans="1:14" x14ac:dyDescent="0.25">
      <c r="A209" t="s">
        <v>601</v>
      </c>
      <c r="B209" t="s">
        <v>878</v>
      </c>
      <c r="C209" t="s">
        <v>602</v>
      </c>
      <c r="D209" t="s">
        <v>204</v>
      </c>
      <c r="E209" t="s">
        <v>277</v>
      </c>
      <c r="F209">
        <v>72502.61</v>
      </c>
      <c r="G209" t="s">
        <v>206</v>
      </c>
      <c r="H209" s="5">
        <v>44235</v>
      </c>
      <c r="I209">
        <v>1</v>
      </c>
      <c r="J209" t="s">
        <v>199</v>
      </c>
      <c r="K209" t="s">
        <v>221</v>
      </c>
      <c r="L209">
        <v>4.8712328767123285</v>
      </c>
      <c r="M209" t="s">
        <v>201</v>
      </c>
      <c r="N209">
        <v>2021</v>
      </c>
    </row>
    <row r="210" spans="1:14" x14ac:dyDescent="0.25">
      <c r="A210" t="s">
        <v>603</v>
      </c>
      <c r="B210" t="s">
        <v>879</v>
      </c>
      <c r="C210" t="s">
        <v>604</v>
      </c>
      <c r="D210" t="s">
        <v>204</v>
      </c>
      <c r="E210" t="s">
        <v>277</v>
      </c>
      <c r="F210">
        <v>68197.899999999994</v>
      </c>
      <c r="G210" t="s">
        <v>206</v>
      </c>
      <c r="H210" s="5">
        <v>44119</v>
      </c>
      <c r="I210">
        <v>1</v>
      </c>
      <c r="J210" t="s">
        <v>199</v>
      </c>
      <c r="K210" t="s">
        <v>244</v>
      </c>
      <c r="L210">
        <v>5.1890410958904107</v>
      </c>
      <c r="M210" t="s">
        <v>201</v>
      </c>
      <c r="N210">
        <v>2020</v>
      </c>
    </row>
    <row r="211" spans="1:14" x14ac:dyDescent="0.25">
      <c r="A211" t="s">
        <v>605</v>
      </c>
      <c r="B211" t="s">
        <v>757</v>
      </c>
      <c r="C211" t="s">
        <v>606</v>
      </c>
      <c r="D211" t="s">
        <v>196</v>
      </c>
      <c r="E211" t="s">
        <v>277</v>
      </c>
      <c r="F211">
        <v>89960.6</v>
      </c>
      <c r="G211" t="s">
        <v>206</v>
      </c>
      <c r="H211" s="5">
        <v>43515</v>
      </c>
      <c r="I211">
        <v>1</v>
      </c>
      <c r="J211" t="s">
        <v>215</v>
      </c>
      <c r="K211" t="s">
        <v>244</v>
      </c>
      <c r="L211">
        <v>6.8438356164383558</v>
      </c>
      <c r="M211" t="s">
        <v>201</v>
      </c>
      <c r="N211">
        <v>2019</v>
      </c>
    </row>
    <row r="212" spans="1:14" x14ac:dyDescent="0.25">
      <c r="A212" t="s">
        <v>505</v>
      </c>
      <c r="B212" t="s">
        <v>880</v>
      </c>
      <c r="C212" t="s">
        <v>607</v>
      </c>
      <c r="D212" t="s">
        <v>196</v>
      </c>
      <c r="E212" t="s">
        <v>282</v>
      </c>
      <c r="F212">
        <v>28481.16</v>
      </c>
      <c r="G212" t="s">
        <v>235</v>
      </c>
      <c r="H212" s="5">
        <v>43916</v>
      </c>
      <c r="I212">
        <v>1</v>
      </c>
      <c r="J212" t="s">
        <v>199</v>
      </c>
      <c r="K212" t="s">
        <v>218</v>
      </c>
      <c r="L212">
        <v>5.7452054794520544</v>
      </c>
      <c r="M212" t="s">
        <v>201</v>
      </c>
      <c r="N212">
        <v>2020</v>
      </c>
    </row>
    <row r="213" spans="1:14" x14ac:dyDescent="0.25">
      <c r="A213" t="s">
        <v>329</v>
      </c>
      <c r="B213" t="s">
        <v>881</v>
      </c>
      <c r="C213" t="s">
        <v>608</v>
      </c>
      <c r="D213" t="s">
        <v>204</v>
      </c>
      <c r="E213" t="s">
        <v>214</v>
      </c>
      <c r="F213">
        <v>116767.63</v>
      </c>
      <c r="G213" t="s">
        <v>198</v>
      </c>
      <c r="H213" s="5">
        <v>43949</v>
      </c>
      <c r="I213">
        <v>0.4</v>
      </c>
      <c r="J213" t="s">
        <v>243</v>
      </c>
      <c r="K213" t="s">
        <v>249</v>
      </c>
      <c r="L213">
        <v>5.6547945205479451</v>
      </c>
      <c r="M213" t="s">
        <v>208</v>
      </c>
      <c r="N213">
        <v>2020</v>
      </c>
    </row>
    <row r="214" spans="1:14" x14ac:dyDescent="0.25">
      <c r="A214" t="s">
        <v>609</v>
      </c>
      <c r="B214" t="s">
        <v>882</v>
      </c>
      <c r="C214" t="s">
        <v>610</v>
      </c>
      <c r="D214" t="s">
        <v>196</v>
      </c>
      <c r="E214" t="s">
        <v>277</v>
      </c>
      <c r="F214">
        <v>80360.41</v>
      </c>
      <c r="G214" t="s">
        <v>206</v>
      </c>
      <c r="H214" s="5">
        <v>44167</v>
      </c>
      <c r="I214">
        <v>1</v>
      </c>
      <c r="J214" t="s">
        <v>199</v>
      </c>
      <c r="K214" t="s">
        <v>200</v>
      </c>
      <c r="L214">
        <v>5.0575342465753428</v>
      </c>
      <c r="M214" t="s">
        <v>201</v>
      </c>
      <c r="N214">
        <v>2020</v>
      </c>
    </row>
    <row r="215" spans="1:14" x14ac:dyDescent="0.25">
      <c r="A215" t="s">
        <v>611</v>
      </c>
      <c r="B215" t="s">
        <v>883</v>
      </c>
      <c r="C215" t="s">
        <v>612</v>
      </c>
      <c r="D215" t="s">
        <v>204</v>
      </c>
      <c r="E215" t="s">
        <v>264</v>
      </c>
      <c r="F215">
        <v>77045.440000000002</v>
      </c>
      <c r="G215" t="s">
        <v>206</v>
      </c>
      <c r="H215" s="5">
        <v>43636</v>
      </c>
      <c r="I215">
        <v>1</v>
      </c>
      <c r="J215" t="s">
        <v>199</v>
      </c>
      <c r="K215" t="s">
        <v>200</v>
      </c>
      <c r="L215">
        <v>6.5123287671232877</v>
      </c>
      <c r="M215" t="s">
        <v>201</v>
      </c>
      <c r="N215">
        <v>2019</v>
      </c>
    </row>
    <row r="216" spans="1:14" x14ac:dyDescent="0.25">
      <c r="A216" t="s">
        <v>613</v>
      </c>
      <c r="B216" t="s">
        <v>884</v>
      </c>
      <c r="C216" t="s">
        <v>614</v>
      </c>
      <c r="D216" t="s">
        <v>204</v>
      </c>
      <c r="E216" t="s">
        <v>214</v>
      </c>
      <c r="F216">
        <v>96135.75</v>
      </c>
      <c r="G216" t="s">
        <v>206</v>
      </c>
      <c r="H216" s="5">
        <v>44025</v>
      </c>
      <c r="I216">
        <v>0.3</v>
      </c>
      <c r="J216" t="s">
        <v>199</v>
      </c>
      <c r="K216" t="s">
        <v>221</v>
      </c>
      <c r="L216">
        <v>5.4465753424657537</v>
      </c>
      <c r="M216" t="s">
        <v>208</v>
      </c>
      <c r="N216">
        <v>2020</v>
      </c>
    </row>
    <row r="217" spans="1:14" x14ac:dyDescent="0.25">
      <c r="A217" t="s">
        <v>615</v>
      </c>
      <c r="B217" t="s">
        <v>885</v>
      </c>
      <c r="C217" t="s">
        <v>616</v>
      </c>
      <c r="D217" t="s">
        <v>204</v>
      </c>
      <c r="E217" t="s">
        <v>264</v>
      </c>
      <c r="F217">
        <v>102129.37</v>
      </c>
      <c r="G217" t="s">
        <v>198</v>
      </c>
      <c r="H217" s="5">
        <v>44396</v>
      </c>
      <c r="I217">
        <v>1</v>
      </c>
      <c r="J217" t="s">
        <v>199</v>
      </c>
      <c r="K217" t="s">
        <v>240</v>
      </c>
      <c r="L217">
        <v>4.4301369863013695</v>
      </c>
      <c r="M217" t="s">
        <v>201</v>
      </c>
      <c r="N217">
        <v>2021</v>
      </c>
    </row>
    <row r="218" spans="1:14" x14ac:dyDescent="0.25">
      <c r="A218" t="s">
        <v>617</v>
      </c>
      <c r="B218" t="s">
        <v>886</v>
      </c>
      <c r="C218" t="s">
        <v>618</v>
      </c>
      <c r="D218" t="s">
        <v>204</v>
      </c>
      <c r="E218" t="s">
        <v>214</v>
      </c>
      <c r="F218">
        <v>99965.97</v>
      </c>
      <c r="G218" t="s">
        <v>206</v>
      </c>
      <c r="H218" s="5">
        <v>43133</v>
      </c>
      <c r="I218">
        <v>1</v>
      </c>
      <c r="J218" t="s">
        <v>199</v>
      </c>
      <c r="K218" t="s">
        <v>200</v>
      </c>
      <c r="L218">
        <v>7.8904109589041092</v>
      </c>
      <c r="M218" t="s">
        <v>201</v>
      </c>
      <c r="N218">
        <v>2018</v>
      </c>
    </row>
    <row r="219" spans="1:14" x14ac:dyDescent="0.25">
      <c r="A219" t="s">
        <v>619</v>
      </c>
      <c r="B219" t="s">
        <v>887</v>
      </c>
      <c r="C219" t="s">
        <v>620</v>
      </c>
      <c r="D219" t="s">
        <v>204</v>
      </c>
      <c r="E219" t="s">
        <v>277</v>
      </c>
      <c r="F219">
        <v>49625.64</v>
      </c>
      <c r="G219" t="s">
        <v>235</v>
      </c>
      <c r="H219" s="5">
        <v>44384</v>
      </c>
      <c r="I219">
        <v>0.5</v>
      </c>
      <c r="J219" t="s">
        <v>215</v>
      </c>
      <c r="K219" t="s">
        <v>200</v>
      </c>
      <c r="L219">
        <v>4.463013698630137</v>
      </c>
      <c r="M219" t="s">
        <v>208</v>
      </c>
      <c r="N219">
        <v>2021</v>
      </c>
    </row>
    <row r="220" spans="1:14" x14ac:dyDescent="0.25">
      <c r="A220" t="s">
        <v>621</v>
      </c>
      <c r="B220" t="s">
        <v>888</v>
      </c>
      <c r="C220" t="s">
        <v>622</v>
      </c>
      <c r="D220" t="s">
        <v>204</v>
      </c>
      <c r="E220" t="s">
        <v>197</v>
      </c>
      <c r="F220">
        <v>94815.28</v>
      </c>
      <c r="G220" t="s">
        <v>206</v>
      </c>
      <c r="H220" s="5">
        <v>43440</v>
      </c>
      <c r="I220">
        <v>1</v>
      </c>
      <c r="J220" t="s">
        <v>199</v>
      </c>
      <c r="K220" t="s">
        <v>207</v>
      </c>
      <c r="L220">
        <v>7.0493150684931507</v>
      </c>
      <c r="M220" t="s">
        <v>201</v>
      </c>
      <c r="N220">
        <v>2018</v>
      </c>
    </row>
    <row r="221" spans="1:14" x14ac:dyDescent="0.25">
      <c r="A221" t="s">
        <v>623</v>
      </c>
      <c r="B221" t="s">
        <v>889</v>
      </c>
      <c r="C221" t="s">
        <v>624</v>
      </c>
      <c r="D221" t="s">
        <v>196</v>
      </c>
      <c r="E221" t="s">
        <v>225</v>
      </c>
      <c r="F221">
        <v>36714.379999999997</v>
      </c>
      <c r="G221" t="s">
        <v>235</v>
      </c>
      <c r="H221" s="5">
        <v>44175</v>
      </c>
      <c r="I221">
        <v>1</v>
      </c>
      <c r="J221" t="s">
        <v>199</v>
      </c>
      <c r="K221" t="s">
        <v>249</v>
      </c>
      <c r="L221">
        <v>5.0356164383561648</v>
      </c>
      <c r="M221" t="s">
        <v>201</v>
      </c>
      <c r="N221">
        <v>2020</v>
      </c>
    </row>
    <row r="222" spans="1:14" x14ac:dyDescent="0.25">
      <c r="A222" t="s">
        <v>625</v>
      </c>
      <c r="B222" t="s">
        <v>890</v>
      </c>
      <c r="C222" t="s">
        <v>626</v>
      </c>
      <c r="D222" t="s">
        <v>204</v>
      </c>
      <c r="E222" t="s">
        <v>228</v>
      </c>
      <c r="F222">
        <v>67905.8</v>
      </c>
      <c r="G222" t="s">
        <v>206</v>
      </c>
      <c r="H222" s="5">
        <v>44194</v>
      </c>
      <c r="I222">
        <v>1</v>
      </c>
      <c r="J222" t="s">
        <v>199</v>
      </c>
      <c r="K222" t="s">
        <v>200</v>
      </c>
      <c r="L222">
        <v>4.9835616438356167</v>
      </c>
      <c r="M222" t="s">
        <v>201</v>
      </c>
      <c r="N222">
        <v>2020</v>
      </c>
    </row>
    <row r="223" spans="1:14" x14ac:dyDescent="0.25">
      <c r="A223" t="s">
        <v>627</v>
      </c>
      <c r="B223" t="s">
        <v>891</v>
      </c>
      <c r="C223" t="s">
        <v>628</v>
      </c>
      <c r="D223" t="s">
        <v>196</v>
      </c>
      <c r="E223" t="s">
        <v>258</v>
      </c>
      <c r="F223">
        <v>69862.38</v>
      </c>
      <c r="G223" t="s">
        <v>206</v>
      </c>
      <c r="H223" s="5">
        <v>43458</v>
      </c>
      <c r="I223">
        <v>1</v>
      </c>
      <c r="J223" t="s">
        <v>199</v>
      </c>
      <c r="K223" t="s">
        <v>221</v>
      </c>
      <c r="L223">
        <v>7</v>
      </c>
      <c r="M223" t="s">
        <v>201</v>
      </c>
      <c r="N223">
        <v>2018</v>
      </c>
    </row>
    <row r="224" spans="1:14" x14ac:dyDescent="0.25">
      <c r="A224" t="s">
        <v>454</v>
      </c>
      <c r="B224" t="s">
        <v>805</v>
      </c>
      <c r="C224" t="s">
        <v>455</v>
      </c>
      <c r="D224" t="s">
        <v>196</v>
      </c>
      <c r="E224" t="s">
        <v>261</v>
      </c>
      <c r="F224">
        <v>36547.58</v>
      </c>
      <c r="G224" t="s">
        <v>235</v>
      </c>
      <c r="H224" s="5">
        <v>43416</v>
      </c>
      <c r="I224">
        <v>1</v>
      </c>
      <c r="J224" t="s">
        <v>199</v>
      </c>
      <c r="K224" t="s">
        <v>200</v>
      </c>
      <c r="L224">
        <v>7.1150684931506847</v>
      </c>
      <c r="M224" t="s">
        <v>201</v>
      </c>
      <c r="N224">
        <v>2018</v>
      </c>
    </row>
    <row r="225" spans="1:14" x14ac:dyDescent="0.25">
      <c r="A225" t="s">
        <v>629</v>
      </c>
      <c r="B225" t="s">
        <v>892</v>
      </c>
      <c r="C225" t="s">
        <v>630</v>
      </c>
      <c r="D225" t="s">
        <v>196</v>
      </c>
      <c r="E225" t="s">
        <v>205</v>
      </c>
      <c r="F225">
        <v>106400.02</v>
      </c>
      <c r="G225" t="s">
        <v>198</v>
      </c>
      <c r="H225" s="5">
        <v>44021</v>
      </c>
      <c r="I225">
        <v>1</v>
      </c>
      <c r="J225" t="s">
        <v>243</v>
      </c>
      <c r="K225" t="s">
        <v>249</v>
      </c>
      <c r="L225">
        <v>5.4575342465753423</v>
      </c>
      <c r="M225" t="s">
        <v>201</v>
      </c>
      <c r="N225">
        <v>2020</v>
      </c>
    </row>
    <row r="226" spans="1:14" x14ac:dyDescent="0.25">
      <c r="A226" t="s">
        <v>631</v>
      </c>
      <c r="B226" t="s">
        <v>893</v>
      </c>
      <c r="C226" t="s">
        <v>632</v>
      </c>
      <c r="D226" t="s">
        <v>196</v>
      </c>
      <c r="E226" t="s">
        <v>258</v>
      </c>
      <c r="F226">
        <v>103494.94</v>
      </c>
      <c r="G226" t="s">
        <v>198</v>
      </c>
      <c r="H226" s="5">
        <v>43256</v>
      </c>
      <c r="I226">
        <v>1</v>
      </c>
      <c r="J226" t="s">
        <v>199</v>
      </c>
      <c r="K226" t="s">
        <v>200</v>
      </c>
      <c r="L226">
        <v>7.5534246575342463</v>
      </c>
      <c r="M226" t="s">
        <v>201</v>
      </c>
      <c r="N226">
        <v>2018</v>
      </c>
    </row>
    <row r="227" spans="1:14" x14ac:dyDescent="0.25">
      <c r="A227" t="s">
        <v>522</v>
      </c>
      <c r="B227" t="s">
        <v>840</v>
      </c>
      <c r="C227" t="s">
        <v>523</v>
      </c>
      <c r="D227" t="s">
        <v>196</v>
      </c>
      <c r="E227" t="s">
        <v>264</v>
      </c>
      <c r="F227">
        <v>96753.78</v>
      </c>
      <c r="G227" t="s">
        <v>206</v>
      </c>
      <c r="H227" s="5">
        <v>44494</v>
      </c>
      <c r="I227">
        <v>1</v>
      </c>
      <c r="J227" t="s">
        <v>199</v>
      </c>
      <c r="K227" t="s">
        <v>244</v>
      </c>
      <c r="L227">
        <v>4.161643835616438</v>
      </c>
      <c r="M227" t="s">
        <v>201</v>
      </c>
      <c r="N227">
        <v>2021</v>
      </c>
    </row>
    <row r="228" spans="1:14" x14ac:dyDescent="0.25">
      <c r="A228" t="s">
        <v>600</v>
      </c>
      <c r="B228" t="s">
        <v>769</v>
      </c>
      <c r="C228" t="s">
        <v>384</v>
      </c>
      <c r="D228" t="s">
        <v>204</v>
      </c>
      <c r="E228" t="s">
        <v>205</v>
      </c>
      <c r="F228">
        <v>80695.740000000005</v>
      </c>
      <c r="G228" t="s">
        <v>206</v>
      </c>
      <c r="H228" s="5">
        <v>43360</v>
      </c>
      <c r="I228">
        <v>1</v>
      </c>
      <c r="J228" t="s">
        <v>199</v>
      </c>
      <c r="K228" t="s">
        <v>240</v>
      </c>
      <c r="L228">
        <v>7.2684931506849315</v>
      </c>
      <c r="M228" t="s">
        <v>201</v>
      </c>
      <c r="N228">
        <v>2018</v>
      </c>
    </row>
    <row r="229" spans="1:14" x14ac:dyDescent="0.25">
      <c r="A229" t="s">
        <v>633</v>
      </c>
      <c r="B229" t="s">
        <v>894</v>
      </c>
      <c r="C229" t="s">
        <v>634</v>
      </c>
      <c r="D229" t="s">
        <v>204</v>
      </c>
      <c r="E229" t="s">
        <v>282</v>
      </c>
      <c r="F229">
        <v>61213.01</v>
      </c>
      <c r="G229" t="s">
        <v>206</v>
      </c>
      <c r="H229" s="5">
        <v>44365</v>
      </c>
      <c r="I229">
        <v>1</v>
      </c>
      <c r="J229" t="s">
        <v>199</v>
      </c>
      <c r="K229" t="s">
        <v>249</v>
      </c>
      <c r="L229">
        <v>4.515068493150685</v>
      </c>
      <c r="M229" t="s">
        <v>201</v>
      </c>
      <c r="N229">
        <v>2021</v>
      </c>
    </row>
    <row r="230" spans="1:14" x14ac:dyDescent="0.25">
      <c r="A230" t="s">
        <v>635</v>
      </c>
      <c r="B230" t="s">
        <v>895</v>
      </c>
      <c r="C230" t="s">
        <v>636</v>
      </c>
      <c r="D230" t="s">
        <v>196</v>
      </c>
      <c r="E230" t="s">
        <v>697</v>
      </c>
      <c r="F230">
        <v>69709.509999999995</v>
      </c>
      <c r="G230" t="s">
        <v>206</v>
      </c>
      <c r="H230" s="5">
        <v>43472</v>
      </c>
      <c r="I230">
        <v>1</v>
      </c>
      <c r="J230" t="s">
        <v>199</v>
      </c>
      <c r="K230" t="s">
        <v>218</v>
      </c>
      <c r="L230">
        <v>6.9616438356164387</v>
      </c>
      <c r="M230" t="s">
        <v>201</v>
      </c>
      <c r="N230">
        <v>2019</v>
      </c>
    </row>
    <row r="231" spans="1:14" x14ac:dyDescent="0.25">
      <c r="A231" t="s">
        <v>637</v>
      </c>
      <c r="B231" t="s">
        <v>896</v>
      </c>
      <c r="C231" t="s">
        <v>638</v>
      </c>
      <c r="D231" t="s">
        <v>204</v>
      </c>
      <c r="E231" t="s">
        <v>697</v>
      </c>
      <c r="F231">
        <v>46751.7</v>
      </c>
      <c r="G231" t="s">
        <v>235</v>
      </c>
      <c r="H231" s="5">
        <v>43843</v>
      </c>
      <c r="I231">
        <v>1</v>
      </c>
      <c r="J231" t="s">
        <v>215</v>
      </c>
      <c r="K231" t="s">
        <v>218</v>
      </c>
      <c r="L231">
        <v>5.9452054794520546</v>
      </c>
      <c r="M231" t="s">
        <v>201</v>
      </c>
      <c r="N231">
        <v>2020</v>
      </c>
    </row>
    <row r="232" spans="1:14" x14ac:dyDescent="0.25">
      <c r="A232" t="s">
        <v>639</v>
      </c>
      <c r="B232" t="s">
        <v>897</v>
      </c>
      <c r="C232" t="s">
        <v>640</v>
      </c>
      <c r="D232" t="s">
        <v>196</v>
      </c>
      <c r="E232" t="s">
        <v>211</v>
      </c>
      <c r="F232">
        <v>77096.05</v>
      </c>
      <c r="G232" t="s">
        <v>206</v>
      </c>
      <c r="H232" s="5">
        <v>43217</v>
      </c>
      <c r="I232">
        <v>1</v>
      </c>
      <c r="J232" t="s">
        <v>199</v>
      </c>
      <c r="K232" t="s">
        <v>249</v>
      </c>
      <c r="L232">
        <v>7.6602739726027398</v>
      </c>
      <c r="M232" t="s">
        <v>201</v>
      </c>
      <c r="N232">
        <v>2018</v>
      </c>
    </row>
    <row r="233" spans="1:14" x14ac:dyDescent="0.25">
      <c r="A233" t="s">
        <v>315</v>
      </c>
      <c r="B233" t="s">
        <v>735</v>
      </c>
      <c r="C233" t="s">
        <v>316</v>
      </c>
      <c r="D233" t="s">
        <v>204</v>
      </c>
      <c r="E233" t="s">
        <v>277</v>
      </c>
      <c r="F233">
        <v>67818.14</v>
      </c>
      <c r="G233" t="s">
        <v>206</v>
      </c>
      <c r="H233" s="5">
        <v>43406</v>
      </c>
      <c r="I233">
        <v>0.6</v>
      </c>
      <c r="J233" t="s">
        <v>215</v>
      </c>
      <c r="K233" t="s">
        <v>200</v>
      </c>
      <c r="L233">
        <v>7.1424657534246574</v>
      </c>
      <c r="M233" t="s">
        <v>208</v>
      </c>
      <c r="N233">
        <v>2018</v>
      </c>
    </row>
    <row r="234" spans="1:14" x14ac:dyDescent="0.25">
      <c r="A234" t="s">
        <v>641</v>
      </c>
      <c r="B234" t="s">
        <v>898</v>
      </c>
      <c r="C234" t="s">
        <v>642</v>
      </c>
      <c r="D234" t="s">
        <v>196</v>
      </c>
      <c r="E234" t="s">
        <v>277</v>
      </c>
      <c r="F234">
        <v>77743.149999999994</v>
      </c>
      <c r="G234" t="s">
        <v>206</v>
      </c>
      <c r="H234" s="5">
        <v>43920</v>
      </c>
      <c r="I234">
        <v>1</v>
      </c>
      <c r="J234" t="s">
        <v>199</v>
      </c>
      <c r="K234" t="s">
        <v>249</v>
      </c>
      <c r="L234">
        <v>5.7342465753424658</v>
      </c>
      <c r="M234" t="s">
        <v>201</v>
      </c>
      <c r="N234">
        <v>2020</v>
      </c>
    </row>
    <row r="235" spans="1:14" x14ac:dyDescent="0.25">
      <c r="A235" t="s">
        <v>643</v>
      </c>
      <c r="B235" t="s">
        <v>899</v>
      </c>
      <c r="C235" t="s">
        <v>644</v>
      </c>
      <c r="D235" t="s">
        <v>196</v>
      </c>
      <c r="E235" t="s">
        <v>258</v>
      </c>
      <c r="F235">
        <v>48525.71</v>
      </c>
      <c r="G235" t="s">
        <v>235</v>
      </c>
      <c r="H235" s="5">
        <v>43264</v>
      </c>
      <c r="I235">
        <v>1</v>
      </c>
      <c r="J235" t="s">
        <v>199</v>
      </c>
      <c r="K235" t="s">
        <v>218</v>
      </c>
      <c r="L235">
        <v>7.5315068493150683</v>
      </c>
      <c r="M235" t="s">
        <v>201</v>
      </c>
      <c r="N235">
        <v>2018</v>
      </c>
    </row>
    <row r="236" spans="1:14" x14ac:dyDescent="0.25">
      <c r="A236" t="s">
        <v>631</v>
      </c>
      <c r="B236" t="s">
        <v>893</v>
      </c>
      <c r="C236" t="s">
        <v>632</v>
      </c>
      <c r="D236" t="s">
        <v>196</v>
      </c>
      <c r="E236" t="s">
        <v>258</v>
      </c>
      <c r="F236">
        <v>103494.94</v>
      </c>
      <c r="G236" t="s">
        <v>198</v>
      </c>
      <c r="H236" s="5">
        <v>43256</v>
      </c>
      <c r="I236">
        <v>1</v>
      </c>
      <c r="J236" t="s">
        <v>199</v>
      </c>
      <c r="K236" t="s">
        <v>200</v>
      </c>
      <c r="L236">
        <v>7.5534246575342463</v>
      </c>
      <c r="M236" t="s">
        <v>201</v>
      </c>
      <c r="N236">
        <v>2018</v>
      </c>
    </row>
    <row r="237" spans="1:14" x14ac:dyDescent="0.25">
      <c r="A237" t="s">
        <v>629</v>
      </c>
      <c r="B237" t="s">
        <v>900</v>
      </c>
      <c r="C237" t="s">
        <v>645</v>
      </c>
      <c r="D237" t="s">
        <v>196</v>
      </c>
      <c r="E237" t="s">
        <v>205</v>
      </c>
      <c r="F237">
        <v>106400.02</v>
      </c>
      <c r="G237" t="s">
        <v>198</v>
      </c>
      <c r="H237" s="5">
        <v>44021</v>
      </c>
      <c r="I237">
        <v>1</v>
      </c>
      <c r="J237" t="s">
        <v>243</v>
      </c>
      <c r="K237" t="s">
        <v>249</v>
      </c>
      <c r="L237">
        <v>5.4575342465753423</v>
      </c>
      <c r="M237" t="s">
        <v>201</v>
      </c>
      <c r="N237">
        <v>2020</v>
      </c>
    </row>
    <row r="238" spans="1:14" x14ac:dyDescent="0.25">
      <c r="A238" t="s">
        <v>646</v>
      </c>
      <c r="B238" t="s">
        <v>901</v>
      </c>
      <c r="C238" t="s">
        <v>647</v>
      </c>
      <c r="D238" t="s">
        <v>196</v>
      </c>
      <c r="E238" t="s">
        <v>258</v>
      </c>
      <c r="F238">
        <v>65569.36</v>
      </c>
      <c r="G238" t="s">
        <v>206</v>
      </c>
      <c r="H238" s="5">
        <v>43293</v>
      </c>
      <c r="I238">
        <v>1</v>
      </c>
      <c r="J238" t="s">
        <v>215</v>
      </c>
      <c r="K238" t="s">
        <v>244</v>
      </c>
      <c r="L238">
        <v>7.4520547945205475</v>
      </c>
      <c r="M238" t="s">
        <v>201</v>
      </c>
      <c r="N238">
        <v>2018</v>
      </c>
    </row>
    <row r="239" spans="1:14" x14ac:dyDescent="0.25">
      <c r="A239" t="s">
        <v>468</v>
      </c>
      <c r="B239" t="s">
        <v>902</v>
      </c>
      <c r="C239" t="s">
        <v>648</v>
      </c>
      <c r="D239" t="s">
        <v>196</v>
      </c>
      <c r="E239" t="s">
        <v>277</v>
      </c>
      <c r="F239">
        <v>40445.29</v>
      </c>
      <c r="G239" t="s">
        <v>235</v>
      </c>
      <c r="H239" s="5">
        <v>44393</v>
      </c>
      <c r="I239">
        <v>1</v>
      </c>
      <c r="J239" t="s">
        <v>199</v>
      </c>
      <c r="K239" t="s">
        <v>249</v>
      </c>
      <c r="L239">
        <v>4.4383561643835616</v>
      </c>
      <c r="M239" t="s">
        <v>201</v>
      </c>
      <c r="N239">
        <v>2021</v>
      </c>
    </row>
    <row r="240" spans="1:14" x14ac:dyDescent="0.25">
      <c r="A240" t="s">
        <v>649</v>
      </c>
      <c r="B240" t="s">
        <v>903</v>
      </c>
      <c r="C240" t="s">
        <v>650</v>
      </c>
      <c r="D240" t="s">
        <v>204</v>
      </c>
      <c r="E240" t="s">
        <v>197</v>
      </c>
      <c r="F240">
        <v>114772.32</v>
      </c>
      <c r="G240" t="s">
        <v>198</v>
      </c>
      <c r="H240" s="5">
        <v>44251</v>
      </c>
      <c r="I240">
        <v>1</v>
      </c>
      <c r="J240" t="s">
        <v>199</v>
      </c>
      <c r="K240" t="s">
        <v>240</v>
      </c>
      <c r="L240">
        <v>4.8273972602739725</v>
      </c>
      <c r="M240" t="s">
        <v>201</v>
      </c>
      <c r="N240">
        <v>2021</v>
      </c>
    </row>
    <row r="241" spans="1:14" x14ac:dyDescent="0.25">
      <c r="A241" t="s">
        <v>651</v>
      </c>
      <c r="B241" t="s">
        <v>904</v>
      </c>
      <c r="C241" t="s">
        <v>652</v>
      </c>
      <c r="D241" t="s">
        <v>204</v>
      </c>
      <c r="E241" t="s">
        <v>214</v>
      </c>
      <c r="F241">
        <v>56253.81</v>
      </c>
      <c r="G241" t="s">
        <v>206</v>
      </c>
      <c r="H241" s="5">
        <v>44421</v>
      </c>
      <c r="I241">
        <v>1</v>
      </c>
      <c r="J241" t="s">
        <v>199</v>
      </c>
      <c r="K241" t="s">
        <v>244</v>
      </c>
      <c r="L241">
        <v>4.3616438356164382</v>
      </c>
      <c r="M241" t="s">
        <v>201</v>
      </c>
      <c r="N241">
        <v>2021</v>
      </c>
    </row>
    <row r="242" spans="1:14" x14ac:dyDescent="0.25">
      <c r="A242" t="s">
        <v>653</v>
      </c>
      <c r="B242" t="s">
        <v>905</v>
      </c>
      <c r="C242" t="s">
        <v>654</v>
      </c>
      <c r="D242" t="s">
        <v>204</v>
      </c>
      <c r="E242" t="s">
        <v>277</v>
      </c>
      <c r="F242">
        <v>51798.25</v>
      </c>
      <c r="G242" t="s">
        <v>206</v>
      </c>
      <c r="H242" s="5">
        <v>43665</v>
      </c>
      <c r="I242">
        <v>1</v>
      </c>
      <c r="J242" t="s">
        <v>199</v>
      </c>
      <c r="K242" t="s">
        <v>218</v>
      </c>
      <c r="L242">
        <v>6.4328767123287669</v>
      </c>
      <c r="M242" t="s">
        <v>201</v>
      </c>
      <c r="N242">
        <v>2019</v>
      </c>
    </row>
    <row r="243" spans="1:14" x14ac:dyDescent="0.25">
      <c r="A243" t="s">
        <v>655</v>
      </c>
      <c r="B243" t="s">
        <v>906</v>
      </c>
      <c r="C243" t="s">
        <v>656</v>
      </c>
      <c r="D243" t="s">
        <v>196</v>
      </c>
      <c r="E243" t="s">
        <v>258</v>
      </c>
      <c r="F243">
        <v>28329.77</v>
      </c>
      <c r="G243" t="s">
        <v>235</v>
      </c>
      <c r="H243" s="5">
        <v>43402</v>
      </c>
      <c r="I243">
        <v>1</v>
      </c>
      <c r="J243" t="s">
        <v>199</v>
      </c>
      <c r="K243" t="s">
        <v>207</v>
      </c>
      <c r="L243">
        <v>7.1534246575342468</v>
      </c>
      <c r="M243" t="s">
        <v>201</v>
      </c>
      <c r="N243">
        <v>2018</v>
      </c>
    </row>
    <row r="244" spans="1:14" x14ac:dyDescent="0.25">
      <c r="A244" t="s">
        <v>657</v>
      </c>
      <c r="B244" t="s">
        <v>907</v>
      </c>
      <c r="C244" t="s">
        <v>658</v>
      </c>
      <c r="D244" t="s">
        <v>204</v>
      </c>
      <c r="E244" t="s">
        <v>214</v>
      </c>
      <c r="F244">
        <v>93964.3</v>
      </c>
      <c r="G244" t="s">
        <v>206</v>
      </c>
      <c r="H244" s="5">
        <v>44454</v>
      </c>
      <c r="I244">
        <v>0.4</v>
      </c>
      <c r="J244" t="s">
        <v>215</v>
      </c>
      <c r="K244" t="s">
        <v>218</v>
      </c>
      <c r="L244">
        <v>4.2712328767123289</v>
      </c>
      <c r="M244" t="s">
        <v>208</v>
      </c>
      <c r="N244">
        <v>2021</v>
      </c>
    </row>
    <row r="245" spans="1:14" x14ac:dyDescent="0.25">
      <c r="A245" t="s">
        <v>659</v>
      </c>
      <c r="B245" t="s">
        <v>719</v>
      </c>
      <c r="C245" t="s">
        <v>284</v>
      </c>
      <c r="D245" t="s">
        <v>196</v>
      </c>
      <c r="E245" t="s">
        <v>205</v>
      </c>
      <c r="F245">
        <v>90884.32</v>
      </c>
      <c r="G245" t="s">
        <v>206</v>
      </c>
      <c r="H245" s="5">
        <v>44039</v>
      </c>
      <c r="I245">
        <v>0.5</v>
      </c>
      <c r="J245" t="s">
        <v>199</v>
      </c>
      <c r="K245" t="s">
        <v>240</v>
      </c>
      <c r="L245">
        <v>5.4082191780821915</v>
      </c>
      <c r="M245" t="s">
        <v>208</v>
      </c>
      <c r="N245">
        <v>2020</v>
      </c>
    </row>
    <row r="246" spans="1:14" x14ac:dyDescent="0.25">
      <c r="A246" t="s">
        <v>660</v>
      </c>
      <c r="B246" t="s">
        <v>908</v>
      </c>
      <c r="C246" t="s">
        <v>661</v>
      </c>
      <c r="D246" t="s">
        <v>196</v>
      </c>
      <c r="E246" t="s">
        <v>211</v>
      </c>
      <c r="F246">
        <v>84742.86</v>
      </c>
      <c r="G246" t="s">
        <v>206</v>
      </c>
      <c r="H246" s="5">
        <v>44098</v>
      </c>
      <c r="I246">
        <v>1</v>
      </c>
      <c r="J246" t="s">
        <v>199</v>
      </c>
      <c r="K246" t="s">
        <v>244</v>
      </c>
      <c r="L246">
        <v>5.2465753424657535</v>
      </c>
      <c r="M246" t="s">
        <v>201</v>
      </c>
      <c r="N246">
        <v>2020</v>
      </c>
    </row>
    <row r="247" spans="1:14" x14ac:dyDescent="0.25">
      <c r="A247" t="s">
        <v>662</v>
      </c>
      <c r="B247" t="s">
        <v>909</v>
      </c>
      <c r="C247" t="s">
        <v>663</v>
      </c>
      <c r="D247" t="s">
        <v>196</v>
      </c>
      <c r="E247" t="s">
        <v>264</v>
      </c>
      <c r="F247">
        <v>80772.92</v>
      </c>
      <c r="G247" t="s">
        <v>206</v>
      </c>
      <c r="H247" s="5">
        <v>44137</v>
      </c>
      <c r="I247">
        <v>1</v>
      </c>
      <c r="J247" t="s">
        <v>243</v>
      </c>
      <c r="K247" t="s">
        <v>200</v>
      </c>
      <c r="L247">
        <v>5.13972602739726</v>
      </c>
      <c r="M247" t="s">
        <v>201</v>
      </c>
      <c r="N247">
        <v>2020</v>
      </c>
    </row>
    <row r="248" spans="1:14" x14ac:dyDescent="0.25">
      <c r="A248" t="s">
        <v>664</v>
      </c>
      <c r="B248" t="s">
        <v>910</v>
      </c>
      <c r="C248" t="s">
        <v>665</v>
      </c>
      <c r="D248" t="s">
        <v>204</v>
      </c>
      <c r="E248" t="s">
        <v>258</v>
      </c>
      <c r="F248">
        <v>85264.38</v>
      </c>
      <c r="G248" t="s">
        <v>206</v>
      </c>
      <c r="H248" s="5">
        <v>43220</v>
      </c>
      <c r="I248">
        <v>1</v>
      </c>
      <c r="J248" t="s">
        <v>199</v>
      </c>
      <c r="K248" t="s">
        <v>249</v>
      </c>
      <c r="L248">
        <v>7.6520547945205477</v>
      </c>
      <c r="M248" t="s">
        <v>201</v>
      </c>
      <c r="N248">
        <v>2018</v>
      </c>
    </row>
    <row r="249" spans="1:14" x14ac:dyDescent="0.25">
      <c r="A249" t="s">
        <v>357</v>
      </c>
      <c r="B249" t="s">
        <v>756</v>
      </c>
      <c r="C249" t="s">
        <v>358</v>
      </c>
      <c r="D249" t="s">
        <v>196</v>
      </c>
      <c r="E249" t="s">
        <v>282</v>
      </c>
      <c r="F249">
        <v>113747.56</v>
      </c>
      <c r="G249" t="s">
        <v>198</v>
      </c>
      <c r="H249" s="5">
        <v>44270</v>
      </c>
      <c r="I249">
        <v>0.7</v>
      </c>
      <c r="J249" t="s">
        <v>243</v>
      </c>
      <c r="K249" t="s">
        <v>240</v>
      </c>
      <c r="L249">
        <v>4.7753424657534245</v>
      </c>
      <c r="M249" t="s">
        <v>208</v>
      </c>
      <c r="N249">
        <v>2021</v>
      </c>
    </row>
    <row r="250" spans="1:14" x14ac:dyDescent="0.25">
      <c r="A250" t="s">
        <v>666</v>
      </c>
      <c r="B250" t="s">
        <v>911</v>
      </c>
      <c r="C250" t="s">
        <v>667</v>
      </c>
      <c r="D250" t="s">
        <v>204</v>
      </c>
      <c r="E250" t="s">
        <v>197</v>
      </c>
      <c r="F250">
        <v>78378.2</v>
      </c>
      <c r="G250" t="s">
        <v>206</v>
      </c>
      <c r="H250" s="5">
        <v>43465</v>
      </c>
      <c r="I250">
        <v>0.4</v>
      </c>
      <c r="J250" t="s">
        <v>199</v>
      </c>
      <c r="K250" t="s">
        <v>200</v>
      </c>
      <c r="L250">
        <v>6.9808219178082194</v>
      </c>
      <c r="M250" t="s">
        <v>208</v>
      </c>
      <c r="N250">
        <v>2018</v>
      </c>
    </row>
    <row r="251" spans="1:14" x14ac:dyDescent="0.25">
      <c r="A251" t="s">
        <v>668</v>
      </c>
      <c r="B251" t="s">
        <v>912</v>
      </c>
      <c r="C251" t="s">
        <v>669</v>
      </c>
      <c r="D251" t="s">
        <v>196</v>
      </c>
      <c r="E251" t="s">
        <v>264</v>
      </c>
      <c r="F251">
        <v>91314.75</v>
      </c>
      <c r="G251" t="s">
        <v>206</v>
      </c>
      <c r="H251" s="5">
        <v>43931</v>
      </c>
      <c r="I251">
        <v>1</v>
      </c>
      <c r="J251" t="s">
        <v>215</v>
      </c>
      <c r="K251" t="s">
        <v>207</v>
      </c>
      <c r="L251">
        <v>5.7041095890410958</v>
      </c>
      <c r="M251" t="s">
        <v>201</v>
      </c>
      <c r="N251">
        <v>2020</v>
      </c>
    </row>
    <row r="252" spans="1:14" x14ac:dyDescent="0.25">
      <c r="A252" t="s">
        <v>409</v>
      </c>
      <c r="B252" t="s">
        <v>913</v>
      </c>
      <c r="C252" t="s">
        <v>670</v>
      </c>
      <c r="D252" t="s">
        <v>196</v>
      </c>
      <c r="E252" t="s">
        <v>282</v>
      </c>
      <c r="F252">
        <v>66572.58</v>
      </c>
      <c r="G252" t="s">
        <v>206</v>
      </c>
      <c r="H252" s="5">
        <v>44193</v>
      </c>
      <c r="I252">
        <v>1</v>
      </c>
      <c r="J252" t="s">
        <v>199</v>
      </c>
      <c r="K252" t="s">
        <v>249</v>
      </c>
      <c r="L252">
        <v>4.9863013698630141</v>
      </c>
      <c r="M252" t="s">
        <v>201</v>
      </c>
      <c r="N252">
        <v>2020</v>
      </c>
    </row>
    <row r="253" spans="1:14" x14ac:dyDescent="0.25">
      <c r="A253" t="s">
        <v>671</v>
      </c>
      <c r="B253" t="s">
        <v>914</v>
      </c>
      <c r="C253" t="s">
        <v>672</v>
      </c>
      <c r="D253" t="s">
        <v>196</v>
      </c>
      <c r="E253" t="s">
        <v>225</v>
      </c>
      <c r="F253">
        <v>30077.45</v>
      </c>
      <c r="G253" t="s">
        <v>235</v>
      </c>
      <c r="H253" s="5">
        <v>43474</v>
      </c>
      <c r="I253">
        <v>1</v>
      </c>
      <c r="J253" t="s">
        <v>199</v>
      </c>
      <c r="K253" t="s">
        <v>221</v>
      </c>
      <c r="L253">
        <v>6.956164383561644</v>
      </c>
      <c r="M253" t="s">
        <v>201</v>
      </c>
      <c r="N253">
        <v>2019</v>
      </c>
    </row>
    <row r="254" spans="1:14" x14ac:dyDescent="0.25">
      <c r="A254" t="s">
        <v>673</v>
      </c>
      <c r="B254" t="s">
        <v>915</v>
      </c>
      <c r="C254" t="s">
        <v>674</v>
      </c>
      <c r="D254" t="s">
        <v>224</v>
      </c>
      <c r="E254" t="s">
        <v>261</v>
      </c>
      <c r="F254">
        <v>98012.63</v>
      </c>
      <c r="G254" t="s">
        <v>206</v>
      </c>
      <c r="H254" s="5">
        <v>43780</v>
      </c>
      <c r="I254">
        <v>1</v>
      </c>
      <c r="J254" t="s">
        <v>199</v>
      </c>
      <c r="K254" t="s">
        <v>200</v>
      </c>
      <c r="L254">
        <v>6.117808219178082</v>
      </c>
      <c r="M254" t="s">
        <v>201</v>
      </c>
      <c r="N254">
        <v>2019</v>
      </c>
    </row>
    <row r="255" spans="1:14" x14ac:dyDescent="0.25">
      <c r="A255" t="s">
        <v>675</v>
      </c>
      <c r="B255" t="s">
        <v>748</v>
      </c>
      <c r="C255" t="s">
        <v>342</v>
      </c>
      <c r="D255" t="s">
        <v>196</v>
      </c>
      <c r="E255" t="s">
        <v>258</v>
      </c>
      <c r="F255">
        <v>72876.91</v>
      </c>
      <c r="G255" t="s">
        <v>206</v>
      </c>
      <c r="H255" s="5">
        <v>43837</v>
      </c>
      <c r="I255">
        <v>1</v>
      </c>
      <c r="J255" t="s">
        <v>199</v>
      </c>
      <c r="K255" t="s">
        <v>200</v>
      </c>
      <c r="L255">
        <v>5.9616438356164387</v>
      </c>
      <c r="M255" t="s">
        <v>201</v>
      </c>
      <c r="N255">
        <v>2020</v>
      </c>
    </row>
    <row r="256" spans="1:14" x14ac:dyDescent="0.25">
      <c r="A256" t="s">
        <v>676</v>
      </c>
      <c r="B256" t="s">
        <v>916</v>
      </c>
      <c r="C256" t="s">
        <v>677</v>
      </c>
      <c r="D256" t="s">
        <v>196</v>
      </c>
      <c r="E256" t="s">
        <v>197</v>
      </c>
      <c r="F256">
        <v>92943.89</v>
      </c>
      <c r="G256" t="s">
        <v>206</v>
      </c>
      <c r="H256" s="5">
        <v>44510</v>
      </c>
      <c r="I256">
        <v>1</v>
      </c>
      <c r="J256" t="s">
        <v>199</v>
      </c>
      <c r="K256" t="s">
        <v>218</v>
      </c>
      <c r="L256">
        <v>4.117808219178082</v>
      </c>
      <c r="M256" t="s">
        <v>201</v>
      </c>
      <c r="N256">
        <v>2021</v>
      </c>
    </row>
    <row r="257" spans="1:14" x14ac:dyDescent="0.25">
      <c r="A257" t="s">
        <v>678</v>
      </c>
      <c r="B257" t="s">
        <v>917</v>
      </c>
      <c r="C257" t="s">
        <v>679</v>
      </c>
      <c r="D257" t="s">
        <v>204</v>
      </c>
      <c r="E257" t="s">
        <v>258</v>
      </c>
      <c r="F257">
        <v>29808.07</v>
      </c>
      <c r="G257" t="s">
        <v>235</v>
      </c>
      <c r="H257" s="5">
        <v>43291</v>
      </c>
      <c r="I257">
        <v>0.3</v>
      </c>
      <c r="J257" t="s">
        <v>243</v>
      </c>
      <c r="K257" t="s">
        <v>218</v>
      </c>
      <c r="L257">
        <v>7.4575342465753423</v>
      </c>
      <c r="M257" t="s">
        <v>208</v>
      </c>
      <c r="N257">
        <v>2018</v>
      </c>
    </row>
    <row r="258" spans="1:14" x14ac:dyDescent="0.25">
      <c r="A258" t="s">
        <v>680</v>
      </c>
      <c r="B258" t="s">
        <v>918</v>
      </c>
      <c r="C258" t="s">
        <v>681</v>
      </c>
      <c r="D258" t="s">
        <v>204</v>
      </c>
      <c r="E258" t="s">
        <v>264</v>
      </c>
      <c r="F258">
        <v>47551.89</v>
      </c>
      <c r="G258" t="s">
        <v>235</v>
      </c>
      <c r="H258" s="5">
        <v>43468</v>
      </c>
      <c r="I258">
        <v>1</v>
      </c>
      <c r="J258" t="s">
        <v>199</v>
      </c>
      <c r="K258" t="s">
        <v>244</v>
      </c>
      <c r="L258">
        <v>6.9726027397260273</v>
      </c>
      <c r="M258" t="s">
        <v>201</v>
      </c>
      <c r="N258">
        <v>2019</v>
      </c>
    </row>
    <row r="259" spans="1:14" x14ac:dyDescent="0.25">
      <c r="A259" t="s">
        <v>333</v>
      </c>
      <c r="B259" t="s">
        <v>919</v>
      </c>
      <c r="C259" t="s">
        <v>682</v>
      </c>
      <c r="D259" t="s">
        <v>204</v>
      </c>
      <c r="E259" t="s">
        <v>697</v>
      </c>
      <c r="F259">
        <v>39700.82</v>
      </c>
      <c r="G259" t="s">
        <v>235</v>
      </c>
      <c r="H259" s="5">
        <v>44203</v>
      </c>
      <c r="I259">
        <v>0.8</v>
      </c>
      <c r="J259" t="s">
        <v>199</v>
      </c>
      <c r="K259" t="s">
        <v>249</v>
      </c>
      <c r="L259">
        <v>4.9589041095890414</v>
      </c>
      <c r="M259" t="s">
        <v>208</v>
      </c>
      <c r="N259">
        <v>2021</v>
      </c>
    </row>
    <row r="260" spans="1:14" x14ac:dyDescent="0.25">
      <c r="A260" t="s">
        <v>683</v>
      </c>
      <c r="B260" t="s">
        <v>920</v>
      </c>
      <c r="C260" t="s">
        <v>684</v>
      </c>
      <c r="D260" t="s">
        <v>204</v>
      </c>
      <c r="E260" t="s">
        <v>282</v>
      </c>
      <c r="F260">
        <v>31089.22</v>
      </c>
      <c r="G260" t="s">
        <v>235</v>
      </c>
      <c r="H260" s="5">
        <v>43776</v>
      </c>
      <c r="I260">
        <v>1</v>
      </c>
      <c r="J260" t="s">
        <v>215</v>
      </c>
      <c r="K260" t="s">
        <v>249</v>
      </c>
      <c r="L260">
        <v>6.1287671232876715</v>
      </c>
      <c r="M260" t="s">
        <v>201</v>
      </c>
      <c r="N260">
        <v>2019</v>
      </c>
    </row>
    <row r="261" spans="1:14" x14ac:dyDescent="0.25">
      <c r="A261" t="s">
        <v>685</v>
      </c>
      <c r="B261" t="s">
        <v>921</v>
      </c>
      <c r="C261" t="s">
        <v>686</v>
      </c>
      <c r="D261" t="s">
        <v>204</v>
      </c>
      <c r="E261" t="s">
        <v>264</v>
      </c>
      <c r="F261">
        <v>78020.39</v>
      </c>
      <c r="G261" t="s">
        <v>206</v>
      </c>
      <c r="H261" s="5">
        <v>43899</v>
      </c>
      <c r="I261">
        <v>1</v>
      </c>
      <c r="J261" t="s">
        <v>199</v>
      </c>
      <c r="K261" t="s">
        <v>200</v>
      </c>
      <c r="L261">
        <v>5.7917808219178086</v>
      </c>
      <c r="M261" t="s">
        <v>201</v>
      </c>
      <c r="N261">
        <v>2020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2732-0DA2-49AF-AAAD-647F80DEB255}">
  <dimension ref="A1:G94"/>
  <sheetViews>
    <sheetView zoomScale="70" zoomScaleNormal="70" workbookViewId="0">
      <selection activeCell="V2" sqref="V2"/>
    </sheetView>
  </sheetViews>
  <sheetFormatPr defaultRowHeight="15" x14ac:dyDescent="0.25"/>
  <cols>
    <col min="1" max="1" width="10.7109375" bestFit="1" customWidth="1"/>
    <col min="2" max="2" width="20.28515625" bestFit="1" customWidth="1"/>
    <col min="3" max="3" width="10.28515625" bestFit="1" customWidth="1"/>
    <col min="4" max="4" width="11.42578125" bestFit="1" customWidth="1"/>
    <col min="5" max="5" width="13" bestFit="1" customWidth="1"/>
    <col min="6" max="6" width="13.85546875" bestFit="1" customWidth="1"/>
    <col min="7" max="7" width="10.7109375" bestFit="1" customWidth="1"/>
  </cols>
  <sheetData>
    <row r="1" spans="1: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s="4" t="s">
        <v>20</v>
      </c>
      <c r="G1" t="s">
        <v>19</v>
      </c>
    </row>
    <row r="2" spans="1:7" x14ac:dyDescent="0.25">
      <c r="A2" t="s">
        <v>21</v>
      </c>
      <c r="B2" t="s">
        <v>22</v>
      </c>
      <c r="C2">
        <v>39</v>
      </c>
      <c r="D2">
        <v>41</v>
      </c>
      <c r="E2">
        <v>33</v>
      </c>
      <c r="F2" s="4">
        <v>0.34513274336283201</v>
      </c>
      <c r="G2">
        <v>113</v>
      </c>
    </row>
    <row r="3" spans="1:7" x14ac:dyDescent="0.25">
      <c r="A3" t="s">
        <v>23</v>
      </c>
      <c r="B3" t="s">
        <v>24</v>
      </c>
      <c r="C3">
        <v>38</v>
      </c>
      <c r="D3">
        <v>32</v>
      </c>
      <c r="E3">
        <v>19</v>
      </c>
      <c r="F3" s="4">
        <v>0.426966292134831</v>
      </c>
      <c r="G3">
        <v>89</v>
      </c>
    </row>
    <row r="4" spans="1:7" x14ac:dyDescent="0.25">
      <c r="A4" t="s">
        <v>25</v>
      </c>
      <c r="B4" t="s">
        <v>26</v>
      </c>
      <c r="C4">
        <v>27</v>
      </c>
      <c r="D4">
        <v>14</v>
      </c>
      <c r="E4">
        <v>17</v>
      </c>
      <c r="F4" s="4">
        <v>0.46551724137931</v>
      </c>
      <c r="G4">
        <v>58</v>
      </c>
    </row>
    <row r="5" spans="1:7" x14ac:dyDescent="0.25">
      <c r="A5" t="s">
        <v>27</v>
      </c>
      <c r="B5" t="s">
        <v>28</v>
      </c>
      <c r="C5">
        <v>22</v>
      </c>
      <c r="D5">
        <v>20</v>
      </c>
      <c r="E5">
        <v>22</v>
      </c>
      <c r="F5" s="4">
        <v>0.34375</v>
      </c>
      <c r="G5">
        <v>64</v>
      </c>
    </row>
    <row r="6" spans="1:7" x14ac:dyDescent="0.25">
      <c r="A6" t="s">
        <v>29</v>
      </c>
      <c r="B6" t="s">
        <v>30</v>
      </c>
      <c r="C6">
        <v>20</v>
      </c>
      <c r="D6">
        <v>28</v>
      </c>
      <c r="E6">
        <v>23</v>
      </c>
      <c r="F6" s="4">
        <v>0.28169014084506999</v>
      </c>
      <c r="G6">
        <v>71</v>
      </c>
    </row>
    <row r="7" spans="1:7" x14ac:dyDescent="0.25">
      <c r="A7" t="s">
        <v>31</v>
      </c>
      <c r="B7" t="s">
        <v>32</v>
      </c>
      <c r="C7">
        <v>17</v>
      </c>
      <c r="D7">
        <v>7</v>
      </c>
      <c r="E7">
        <v>22</v>
      </c>
      <c r="F7" s="4">
        <v>0.36956521739130399</v>
      </c>
      <c r="G7">
        <v>46</v>
      </c>
    </row>
    <row r="8" spans="1:7" x14ac:dyDescent="0.25">
      <c r="A8" t="s">
        <v>33</v>
      </c>
      <c r="B8" t="s">
        <v>34</v>
      </c>
      <c r="C8">
        <v>10</v>
      </c>
      <c r="D8">
        <v>12</v>
      </c>
      <c r="E8">
        <v>14</v>
      </c>
      <c r="F8" s="4">
        <v>0.27777777777777801</v>
      </c>
      <c r="G8">
        <v>36</v>
      </c>
    </row>
    <row r="9" spans="1:7" x14ac:dyDescent="0.25">
      <c r="A9" t="s">
        <v>35</v>
      </c>
      <c r="B9" t="s">
        <v>36</v>
      </c>
      <c r="C9">
        <v>10</v>
      </c>
      <c r="D9">
        <v>12</v>
      </c>
      <c r="E9">
        <v>11</v>
      </c>
      <c r="F9" s="4">
        <v>0.30303030303030298</v>
      </c>
      <c r="G9">
        <v>33</v>
      </c>
    </row>
    <row r="10" spans="1:7" x14ac:dyDescent="0.25">
      <c r="A10" t="s">
        <v>37</v>
      </c>
      <c r="B10" t="s">
        <v>38</v>
      </c>
      <c r="C10">
        <v>10</v>
      </c>
      <c r="D10">
        <v>11</v>
      </c>
      <c r="E10">
        <v>16</v>
      </c>
      <c r="F10" s="4">
        <v>0.27027027027027001</v>
      </c>
      <c r="G10">
        <v>37</v>
      </c>
    </row>
    <row r="11" spans="1:7" x14ac:dyDescent="0.25">
      <c r="A11" t="s">
        <v>39</v>
      </c>
      <c r="B11" t="s">
        <v>40</v>
      </c>
      <c r="C11">
        <v>10</v>
      </c>
      <c r="D11">
        <v>10</v>
      </c>
      <c r="E11">
        <v>20</v>
      </c>
      <c r="F11" s="4">
        <v>0.25</v>
      </c>
      <c r="G11">
        <v>40</v>
      </c>
    </row>
    <row r="12" spans="1:7" x14ac:dyDescent="0.25">
      <c r="A12" t="s">
        <v>41</v>
      </c>
      <c r="B12" t="s">
        <v>42</v>
      </c>
      <c r="C12">
        <v>7</v>
      </c>
      <c r="D12">
        <v>7</v>
      </c>
      <c r="E12">
        <v>10</v>
      </c>
      <c r="F12" s="4">
        <v>0.29166666666666702</v>
      </c>
      <c r="G12">
        <v>24</v>
      </c>
    </row>
    <row r="13" spans="1:7" x14ac:dyDescent="0.25">
      <c r="A13" t="s">
        <v>43</v>
      </c>
      <c r="B13" t="s">
        <v>44</v>
      </c>
      <c r="C13">
        <v>7</v>
      </c>
      <c r="D13">
        <v>6</v>
      </c>
      <c r="E13">
        <v>8</v>
      </c>
      <c r="F13" s="4">
        <v>0.33333333333333298</v>
      </c>
      <c r="G13">
        <v>21</v>
      </c>
    </row>
    <row r="14" spans="1:7" x14ac:dyDescent="0.25">
      <c r="A14" t="s">
        <v>45</v>
      </c>
      <c r="B14" t="s">
        <v>46</v>
      </c>
      <c r="C14">
        <v>7</v>
      </c>
      <c r="D14">
        <v>6</v>
      </c>
      <c r="E14">
        <v>7</v>
      </c>
      <c r="F14" s="4">
        <v>0.35</v>
      </c>
      <c r="G14">
        <v>20</v>
      </c>
    </row>
    <row r="15" spans="1:7" x14ac:dyDescent="0.25">
      <c r="A15" t="s">
        <v>47</v>
      </c>
      <c r="B15" t="s">
        <v>48</v>
      </c>
      <c r="C15">
        <v>7</v>
      </c>
      <c r="D15">
        <v>3</v>
      </c>
      <c r="E15">
        <v>5</v>
      </c>
      <c r="F15" s="4">
        <v>0.46666666666666701</v>
      </c>
      <c r="G15">
        <v>15</v>
      </c>
    </row>
    <row r="16" spans="1:7" x14ac:dyDescent="0.25">
      <c r="A16" t="s">
        <v>49</v>
      </c>
      <c r="B16" t="s">
        <v>50</v>
      </c>
      <c r="C16">
        <v>6</v>
      </c>
      <c r="D16">
        <v>7</v>
      </c>
      <c r="E16">
        <v>7</v>
      </c>
      <c r="F16" s="4">
        <v>0.3</v>
      </c>
      <c r="G16">
        <v>20</v>
      </c>
    </row>
    <row r="17" spans="1:7" x14ac:dyDescent="0.25">
      <c r="A17" t="s">
        <v>51</v>
      </c>
      <c r="B17" t="s">
        <v>52</v>
      </c>
      <c r="C17">
        <v>6</v>
      </c>
      <c r="D17">
        <v>4</v>
      </c>
      <c r="E17">
        <v>10</v>
      </c>
      <c r="F17" s="4">
        <v>0.3</v>
      </c>
      <c r="G17">
        <v>20</v>
      </c>
    </row>
    <row r="18" spans="1:7" x14ac:dyDescent="0.25">
      <c r="A18" t="s">
        <v>53</v>
      </c>
      <c r="B18" t="s">
        <v>54</v>
      </c>
      <c r="C18">
        <v>4</v>
      </c>
      <c r="D18">
        <v>5</v>
      </c>
      <c r="E18">
        <v>5</v>
      </c>
      <c r="F18" s="4">
        <v>0.28571428571428598</v>
      </c>
      <c r="G18">
        <v>14</v>
      </c>
    </row>
    <row r="19" spans="1:7" x14ac:dyDescent="0.25">
      <c r="A19" t="s">
        <v>55</v>
      </c>
      <c r="B19" t="s">
        <v>56</v>
      </c>
      <c r="C19">
        <v>4</v>
      </c>
      <c r="D19">
        <v>4</v>
      </c>
      <c r="E19">
        <v>3</v>
      </c>
      <c r="F19" s="4">
        <v>0.36363636363636398</v>
      </c>
      <c r="G19">
        <v>11</v>
      </c>
    </row>
    <row r="20" spans="1:7" x14ac:dyDescent="0.25">
      <c r="A20" t="s">
        <v>57</v>
      </c>
      <c r="B20" t="s">
        <v>58</v>
      </c>
      <c r="C20">
        <v>4</v>
      </c>
      <c r="D20">
        <v>4</v>
      </c>
      <c r="E20">
        <v>2</v>
      </c>
      <c r="F20" s="4">
        <v>0.4</v>
      </c>
      <c r="G20">
        <v>10</v>
      </c>
    </row>
    <row r="21" spans="1:7" x14ac:dyDescent="0.25">
      <c r="A21" t="s">
        <v>59</v>
      </c>
      <c r="B21" t="s">
        <v>60</v>
      </c>
      <c r="C21">
        <v>4</v>
      </c>
      <c r="D21">
        <v>2</v>
      </c>
      <c r="E21">
        <v>2</v>
      </c>
      <c r="F21" s="4">
        <v>0.5</v>
      </c>
      <c r="G21">
        <v>8</v>
      </c>
    </row>
    <row r="22" spans="1:7" x14ac:dyDescent="0.25">
      <c r="A22" t="s">
        <v>61</v>
      </c>
      <c r="B22" t="s">
        <v>62</v>
      </c>
      <c r="C22">
        <v>4</v>
      </c>
      <c r="D22">
        <v>1</v>
      </c>
      <c r="E22">
        <v>4</v>
      </c>
      <c r="F22" s="4">
        <v>0.44444444444444398</v>
      </c>
      <c r="G22">
        <v>9</v>
      </c>
    </row>
    <row r="23" spans="1:7" x14ac:dyDescent="0.25">
      <c r="A23" t="s">
        <v>63</v>
      </c>
      <c r="B23" t="s">
        <v>64</v>
      </c>
      <c r="C23">
        <v>3</v>
      </c>
      <c r="D23">
        <v>8</v>
      </c>
      <c r="E23">
        <v>6</v>
      </c>
      <c r="F23" s="4">
        <v>0.17647058823529399</v>
      </c>
      <c r="G23">
        <v>17</v>
      </c>
    </row>
    <row r="24" spans="1:7" x14ac:dyDescent="0.25">
      <c r="A24" t="s">
        <v>65</v>
      </c>
      <c r="B24" t="s">
        <v>66</v>
      </c>
      <c r="C24">
        <v>3</v>
      </c>
      <c r="D24">
        <v>6</v>
      </c>
      <c r="E24">
        <v>0</v>
      </c>
      <c r="F24" s="4">
        <v>0.33333333333333298</v>
      </c>
      <c r="G24">
        <v>9</v>
      </c>
    </row>
    <row r="25" spans="1:7" x14ac:dyDescent="0.25">
      <c r="A25" t="s">
        <v>67</v>
      </c>
      <c r="B25" t="s">
        <v>68</v>
      </c>
      <c r="C25">
        <v>3</v>
      </c>
      <c r="D25">
        <v>4</v>
      </c>
      <c r="E25">
        <v>6</v>
      </c>
      <c r="F25" s="4">
        <v>0.230769230769231</v>
      </c>
      <c r="G25">
        <v>13</v>
      </c>
    </row>
    <row r="26" spans="1:7" x14ac:dyDescent="0.25">
      <c r="A26" t="s">
        <v>69</v>
      </c>
      <c r="B26" t="s">
        <v>70</v>
      </c>
      <c r="C26">
        <v>3</v>
      </c>
      <c r="D26">
        <v>4</v>
      </c>
      <c r="E26">
        <v>4</v>
      </c>
      <c r="F26" s="4">
        <v>0.27272727272727298</v>
      </c>
      <c r="G26">
        <v>11</v>
      </c>
    </row>
    <row r="27" spans="1:7" x14ac:dyDescent="0.25">
      <c r="A27" t="s">
        <v>71</v>
      </c>
      <c r="B27" t="s">
        <v>72</v>
      </c>
      <c r="C27">
        <v>3</v>
      </c>
      <c r="D27">
        <v>3</v>
      </c>
      <c r="E27">
        <v>2</v>
      </c>
      <c r="F27" s="4">
        <v>0.375</v>
      </c>
      <c r="G27">
        <v>8</v>
      </c>
    </row>
    <row r="28" spans="1:7" x14ac:dyDescent="0.25">
      <c r="A28" t="s">
        <v>73</v>
      </c>
      <c r="B28" t="s">
        <v>74</v>
      </c>
      <c r="C28">
        <v>3</v>
      </c>
      <c r="D28">
        <v>2</v>
      </c>
      <c r="E28">
        <v>2</v>
      </c>
      <c r="F28" s="4">
        <v>0.42857142857142899</v>
      </c>
      <c r="G28">
        <v>7</v>
      </c>
    </row>
    <row r="29" spans="1:7" x14ac:dyDescent="0.25">
      <c r="A29" t="s">
        <v>75</v>
      </c>
      <c r="B29" t="s">
        <v>76</v>
      </c>
      <c r="C29">
        <v>3</v>
      </c>
      <c r="D29">
        <v>1</v>
      </c>
      <c r="E29">
        <v>5</v>
      </c>
      <c r="F29" s="4">
        <v>0.33333333333333298</v>
      </c>
      <c r="G29">
        <v>9</v>
      </c>
    </row>
    <row r="30" spans="1:7" x14ac:dyDescent="0.25">
      <c r="A30" t="s">
        <v>77</v>
      </c>
      <c r="B30" t="s">
        <v>78</v>
      </c>
      <c r="C30">
        <v>3</v>
      </c>
      <c r="D30">
        <v>1</v>
      </c>
      <c r="E30">
        <v>3</v>
      </c>
      <c r="F30" s="4">
        <v>0.42857142857142899</v>
      </c>
      <c r="G30">
        <v>7</v>
      </c>
    </row>
    <row r="31" spans="1:7" x14ac:dyDescent="0.25">
      <c r="A31" t="s">
        <v>79</v>
      </c>
      <c r="B31" t="s">
        <v>80</v>
      </c>
      <c r="C31">
        <v>3</v>
      </c>
      <c r="D31">
        <v>1</v>
      </c>
      <c r="E31">
        <v>2</v>
      </c>
      <c r="F31" s="4">
        <v>0.5</v>
      </c>
      <c r="G31">
        <v>6</v>
      </c>
    </row>
    <row r="32" spans="1:7" x14ac:dyDescent="0.25">
      <c r="A32" t="s">
        <v>81</v>
      </c>
      <c r="B32" t="s">
        <v>82</v>
      </c>
      <c r="C32">
        <v>3</v>
      </c>
      <c r="D32">
        <v>1</v>
      </c>
      <c r="E32">
        <v>1</v>
      </c>
      <c r="F32" s="4">
        <v>0.6</v>
      </c>
      <c r="G32">
        <v>5</v>
      </c>
    </row>
    <row r="33" spans="1:7" x14ac:dyDescent="0.25">
      <c r="A33" t="s">
        <v>83</v>
      </c>
      <c r="B33" t="s">
        <v>84</v>
      </c>
      <c r="C33">
        <v>3</v>
      </c>
      <c r="D33">
        <v>0</v>
      </c>
      <c r="E33">
        <v>2</v>
      </c>
      <c r="F33" s="4">
        <v>0.6</v>
      </c>
      <c r="G33">
        <v>5</v>
      </c>
    </row>
    <row r="34" spans="1:7" x14ac:dyDescent="0.25">
      <c r="A34" t="s">
        <v>85</v>
      </c>
      <c r="B34" t="s">
        <v>86</v>
      </c>
      <c r="C34">
        <v>2</v>
      </c>
      <c r="D34">
        <v>5</v>
      </c>
      <c r="E34">
        <v>1</v>
      </c>
      <c r="F34" s="4">
        <v>0.25</v>
      </c>
      <c r="G34">
        <v>8</v>
      </c>
    </row>
    <row r="35" spans="1:7" x14ac:dyDescent="0.25">
      <c r="A35" t="s">
        <v>87</v>
      </c>
      <c r="B35" t="s">
        <v>88</v>
      </c>
      <c r="C35">
        <v>2</v>
      </c>
      <c r="D35">
        <v>4</v>
      </c>
      <c r="E35">
        <v>6</v>
      </c>
      <c r="F35" s="4">
        <v>0.16666666666666699</v>
      </c>
      <c r="G35">
        <v>12</v>
      </c>
    </row>
    <row r="36" spans="1:7" x14ac:dyDescent="0.25">
      <c r="A36" t="s">
        <v>89</v>
      </c>
      <c r="B36" t="s">
        <v>90</v>
      </c>
      <c r="C36">
        <v>2</v>
      </c>
      <c r="D36">
        <v>2</v>
      </c>
      <c r="E36">
        <v>9</v>
      </c>
      <c r="F36" s="4">
        <v>0.15384615384615399</v>
      </c>
      <c r="G36">
        <v>13</v>
      </c>
    </row>
    <row r="37" spans="1:7" x14ac:dyDescent="0.25">
      <c r="A37" t="s">
        <v>91</v>
      </c>
      <c r="B37" t="s">
        <v>92</v>
      </c>
      <c r="C37">
        <v>2</v>
      </c>
      <c r="D37">
        <v>1</v>
      </c>
      <c r="E37">
        <v>1</v>
      </c>
      <c r="F37" s="4">
        <v>0.5</v>
      </c>
      <c r="G37">
        <v>4</v>
      </c>
    </row>
    <row r="38" spans="1:7" x14ac:dyDescent="0.25">
      <c r="A38" t="s">
        <v>91</v>
      </c>
      <c r="B38" t="s">
        <v>93</v>
      </c>
      <c r="C38">
        <v>2</v>
      </c>
      <c r="D38">
        <v>1</v>
      </c>
      <c r="E38">
        <v>1</v>
      </c>
      <c r="F38" s="4">
        <v>0.5</v>
      </c>
      <c r="G38">
        <v>4</v>
      </c>
    </row>
    <row r="39" spans="1:7" x14ac:dyDescent="0.25">
      <c r="A39" t="s">
        <v>94</v>
      </c>
      <c r="B39" t="s">
        <v>95</v>
      </c>
      <c r="C39">
        <v>2</v>
      </c>
      <c r="D39">
        <v>1</v>
      </c>
      <c r="E39">
        <v>0</v>
      </c>
      <c r="F39" s="4">
        <v>0.66666666666666696</v>
      </c>
      <c r="G39">
        <v>3</v>
      </c>
    </row>
    <row r="40" spans="1:7" x14ac:dyDescent="0.25">
      <c r="A40" t="s">
        <v>96</v>
      </c>
      <c r="B40" t="s">
        <v>97</v>
      </c>
      <c r="C40">
        <v>2</v>
      </c>
      <c r="D40">
        <v>0</v>
      </c>
      <c r="E40">
        <v>2</v>
      </c>
      <c r="F40" s="4">
        <v>0.5</v>
      </c>
      <c r="G40">
        <v>4</v>
      </c>
    </row>
    <row r="41" spans="1:7" x14ac:dyDescent="0.25">
      <c r="A41" t="s">
        <v>96</v>
      </c>
      <c r="B41" t="s">
        <v>98</v>
      </c>
      <c r="C41">
        <v>2</v>
      </c>
      <c r="D41">
        <v>0</v>
      </c>
      <c r="E41">
        <v>2</v>
      </c>
      <c r="F41" s="4">
        <v>0.5</v>
      </c>
      <c r="G41">
        <v>4</v>
      </c>
    </row>
    <row r="42" spans="1:7" x14ac:dyDescent="0.25">
      <c r="A42" t="s">
        <v>99</v>
      </c>
      <c r="B42" t="s">
        <v>100</v>
      </c>
      <c r="C42">
        <v>2</v>
      </c>
      <c r="D42">
        <v>0</v>
      </c>
      <c r="E42">
        <v>1</v>
      </c>
      <c r="F42" s="4">
        <v>0.66666666666666696</v>
      </c>
      <c r="G42">
        <v>3</v>
      </c>
    </row>
    <row r="43" spans="1:7" x14ac:dyDescent="0.25">
      <c r="A43" t="s">
        <v>101</v>
      </c>
      <c r="B43" t="s">
        <v>102</v>
      </c>
      <c r="C43">
        <v>2</v>
      </c>
      <c r="D43">
        <v>0</v>
      </c>
      <c r="E43">
        <v>0</v>
      </c>
      <c r="F43" s="4">
        <v>1</v>
      </c>
      <c r="G43">
        <v>2</v>
      </c>
    </row>
    <row r="44" spans="1:7" x14ac:dyDescent="0.25">
      <c r="A44" t="s">
        <v>101</v>
      </c>
      <c r="B44" t="s">
        <v>103</v>
      </c>
      <c r="C44">
        <v>2</v>
      </c>
      <c r="D44">
        <v>0</v>
      </c>
      <c r="E44">
        <v>0</v>
      </c>
      <c r="F44" s="4">
        <v>1</v>
      </c>
      <c r="G44">
        <v>2</v>
      </c>
    </row>
    <row r="45" spans="1:7" x14ac:dyDescent="0.25">
      <c r="A45" t="s">
        <v>104</v>
      </c>
      <c r="B45" t="s">
        <v>105</v>
      </c>
      <c r="C45">
        <v>1</v>
      </c>
      <c r="D45">
        <v>6</v>
      </c>
      <c r="E45">
        <v>12</v>
      </c>
      <c r="F45" s="4">
        <v>5.2631578947368397E-2</v>
      </c>
      <c r="G45">
        <v>19</v>
      </c>
    </row>
    <row r="46" spans="1:7" x14ac:dyDescent="0.25">
      <c r="A46" t="s">
        <v>106</v>
      </c>
      <c r="B46" t="s">
        <v>107</v>
      </c>
      <c r="C46">
        <v>1</v>
      </c>
      <c r="D46">
        <v>3</v>
      </c>
      <c r="E46">
        <v>3</v>
      </c>
      <c r="F46" s="4">
        <v>0.14285714285714299</v>
      </c>
      <c r="G46">
        <v>7</v>
      </c>
    </row>
    <row r="47" spans="1:7" x14ac:dyDescent="0.25">
      <c r="A47" t="s">
        <v>108</v>
      </c>
      <c r="B47" t="s">
        <v>109</v>
      </c>
      <c r="C47">
        <v>1</v>
      </c>
      <c r="D47">
        <v>3</v>
      </c>
      <c r="E47">
        <v>0</v>
      </c>
      <c r="F47" s="4">
        <v>0.25</v>
      </c>
      <c r="G47">
        <v>4</v>
      </c>
    </row>
    <row r="48" spans="1:7" x14ac:dyDescent="0.25">
      <c r="A48" t="s">
        <v>108</v>
      </c>
      <c r="B48" t="s">
        <v>110</v>
      </c>
      <c r="C48">
        <v>1</v>
      </c>
      <c r="D48">
        <v>3</v>
      </c>
      <c r="E48">
        <v>0</v>
      </c>
      <c r="F48" s="4">
        <v>0.25</v>
      </c>
      <c r="G48">
        <v>4</v>
      </c>
    </row>
    <row r="49" spans="1:7" x14ac:dyDescent="0.25">
      <c r="A49" t="s">
        <v>111</v>
      </c>
      <c r="B49" t="s">
        <v>112</v>
      </c>
      <c r="C49">
        <v>1</v>
      </c>
      <c r="D49">
        <v>2</v>
      </c>
      <c r="E49">
        <v>4</v>
      </c>
      <c r="F49" s="4">
        <v>0.14285714285714299</v>
      </c>
      <c r="G49">
        <v>7</v>
      </c>
    </row>
    <row r="50" spans="1:7" x14ac:dyDescent="0.25">
      <c r="A50" t="s">
        <v>113</v>
      </c>
      <c r="B50" t="s">
        <v>114</v>
      </c>
      <c r="C50">
        <v>1</v>
      </c>
      <c r="D50">
        <v>2</v>
      </c>
      <c r="E50">
        <v>3</v>
      </c>
      <c r="F50" s="4">
        <v>0.16666666666666699</v>
      </c>
      <c r="G50">
        <v>6</v>
      </c>
    </row>
    <row r="51" spans="1:7" x14ac:dyDescent="0.25">
      <c r="A51" t="s">
        <v>115</v>
      </c>
      <c r="B51" t="s">
        <v>116</v>
      </c>
      <c r="C51">
        <v>1</v>
      </c>
      <c r="D51">
        <v>2</v>
      </c>
      <c r="E51">
        <v>1</v>
      </c>
      <c r="F51" s="4">
        <v>0.25</v>
      </c>
      <c r="G51">
        <v>4</v>
      </c>
    </row>
    <row r="52" spans="1:7" x14ac:dyDescent="0.25">
      <c r="A52" t="s">
        <v>115</v>
      </c>
      <c r="B52" t="s">
        <v>117</v>
      </c>
      <c r="C52">
        <v>1</v>
      </c>
      <c r="D52">
        <v>2</v>
      </c>
      <c r="E52">
        <v>1</v>
      </c>
      <c r="F52" s="4">
        <v>0.25</v>
      </c>
      <c r="G52">
        <v>4</v>
      </c>
    </row>
    <row r="53" spans="1:7" x14ac:dyDescent="0.25">
      <c r="A53" t="s">
        <v>118</v>
      </c>
      <c r="B53" t="s">
        <v>119</v>
      </c>
      <c r="C53">
        <v>1</v>
      </c>
      <c r="D53">
        <v>2</v>
      </c>
      <c r="E53">
        <v>0</v>
      </c>
      <c r="F53" s="4">
        <v>0.33333333333333298</v>
      </c>
      <c r="G53">
        <v>3</v>
      </c>
    </row>
    <row r="54" spans="1:7" x14ac:dyDescent="0.25">
      <c r="A54" t="s">
        <v>120</v>
      </c>
      <c r="B54" t="s">
        <v>121</v>
      </c>
      <c r="C54">
        <v>1</v>
      </c>
      <c r="D54">
        <v>1</v>
      </c>
      <c r="E54">
        <v>5</v>
      </c>
      <c r="F54" s="4">
        <v>0.14285714285714299</v>
      </c>
      <c r="G54">
        <v>7</v>
      </c>
    </row>
    <row r="55" spans="1:7" x14ac:dyDescent="0.25">
      <c r="A55" t="s">
        <v>122</v>
      </c>
      <c r="B55" t="s">
        <v>123</v>
      </c>
      <c r="C55">
        <v>1</v>
      </c>
      <c r="D55">
        <v>1</v>
      </c>
      <c r="E55">
        <v>4</v>
      </c>
      <c r="F55" s="4">
        <v>0.16666666666666699</v>
      </c>
      <c r="G55">
        <v>6</v>
      </c>
    </row>
    <row r="56" spans="1:7" x14ac:dyDescent="0.25">
      <c r="A56" t="s">
        <v>124</v>
      </c>
      <c r="B56" t="s">
        <v>125</v>
      </c>
      <c r="C56">
        <v>1</v>
      </c>
      <c r="D56">
        <v>1</v>
      </c>
      <c r="E56">
        <v>3</v>
      </c>
      <c r="F56" s="4">
        <v>0.2</v>
      </c>
      <c r="G56">
        <v>5</v>
      </c>
    </row>
    <row r="57" spans="1:7" x14ac:dyDescent="0.25">
      <c r="A57" t="s">
        <v>126</v>
      </c>
      <c r="B57" t="s">
        <v>127</v>
      </c>
      <c r="C57">
        <v>1</v>
      </c>
      <c r="D57">
        <v>1</v>
      </c>
      <c r="E57">
        <v>2</v>
      </c>
      <c r="F57" s="4">
        <v>0.25</v>
      </c>
      <c r="G57">
        <v>4</v>
      </c>
    </row>
    <row r="58" spans="1:7" x14ac:dyDescent="0.25">
      <c r="A58" t="s">
        <v>126</v>
      </c>
      <c r="B58" t="s">
        <v>128</v>
      </c>
      <c r="C58">
        <v>1</v>
      </c>
      <c r="D58">
        <v>1</v>
      </c>
      <c r="E58">
        <v>2</v>
      </c>
      <c r="F58" s="4">
        <v>0.25</v>
      </c>
      <c r="G58">
        <v>4</v>
      </c>
    </row>
    <row r="59" spans="1:7" x14ac:dyDescent="0.25">
      <c r="A59" t="s">
        <v>129</v>
      </c>
      <c r="B59" t="s">
        <v>130</v>
      </c>
      <c r="C59">
        <v>1</v>
      </c>
      <c r="D59">
        <v>1</v>
      </c>
      <c r="E59">
        <v>0</v>
      </c>
      <c r="F59" s="4">
        <v>0.5</v>
      </c>
      <c r="G59">
        <v>2</v>
      </c>
    </row>
    <row r="60" spans="1:7" x14ac:dyDescent="0.25">
      <c r="A60" t="s">
        <v>131</v>
      </c>
      <c r="B60" t="s">
        <v>132</v>
      </c>
      <c r="C60">
        <v>1</v>
      </c>
      <c r="D60">
        <v>0</v>
      </c>
      <c r="E60">
        <v>1</v>
      </c>
      <c r="F60" s="4">
        <v>0.5</v>
      </c>
      <c r="G60">
        <v>2</v>
      </c>
    </row>
    <row r="61" spans="1:7" x14ac:dyDescent="0.25">
      <c r="A61" t="s">
        <v>131</v>
      </c>
      <c r="B61" t="s">
        <v>133</v>
      </c>
      <c r="C61">
        <v>1</v>
      </c>
      <c r="D61">
        <v>0</v>
      </c>
      <c r="E61">
        <v>1</v>
      </c>
      <c r="F61" s="4">
        <v>0.5</v>
      </c>
      <c r="G61">
        <v>2</v>
      </c>
    </row>
    <row r="62" spans="1:7" x14ac:dyDescent="0.25">
      <c r="A62" t="s">
        <v>131</v>
      </c>
      <c r="B62" t="s">
        <v>134</v>
      </c>
      <c r="C62">
        <v>1</v>
      </c>
      <c r="D62">
        <v>0</v>
      </c>
      <c r="E62">
        <v>1</v>
      </c>
      <c r="F62" s="4">
        <v>0.5</v>
      </c>
      <c r="G62">
        <v>2</v>
      </c>
    </row>
    <row r="63" spans="1:7" x14ac:dyDescent="0.25">
      <c r="A63" t="s">
        <v>131</v>
      </c>
      <c r="B63" t="s">
        <v>135</v>
      </c>
      <c r="C63">
        <v>1</v>
      </c>
      <c r="D63">
        <v>0</v>
      </c>
      <c r="E63">
        <v>1</v>
      </c>
      <c r="F63" s="4">
        <v>0.5</v>
      </c>
      <c r="G63">
        <v>2</v>
      </c>
    </row>
    <row r="64" spans="1:7" x14ac:dyDescent="0.25">
      <c r="A64" t="s">
        <v>136</v>
      </c>
      <c r="B64" t="s">
        <v>137</v>
      </c>
      <c r="C64">
        <v>1</v>
      </c>
      <c r="D64">
        <v>0</v>
      </c>
      <c r="E64">
        <v>0</v>
      </c>
      <c r="F64" s="4">
        <v>1</v>
      </c>
      <c r="G64">
        <v>1</v>
      </c>
    </row>
    <row r="65" spans="1:7" x14ac:dyDescent="0.25">
      <c r="A65" t="s">
        <v>136</v>
      </c>
      <c r="B65" t="s">
        <v>138</v>
      </c>
      <c r="C65">
        <v>1</v>
      </c>
      <c r="D65">
        <v>0</v>
      </c>
      <c r="E65">
        <v>0</v>
      </c>
      <c r="F65" s="4">
        <v>1</v>
      </c>
      <c r="G65">
        <v>1</v>
      </c>
    </row>
    <row r="66" spans="1:7" x14ac:dyDescent="0.25">
      <c r="A66" t="s">
        <v>136</v>
      </c>
      <c r="B66" t="s">
        <v>139</v>
      </c>
      <c r="C66">
        <v>1</v>
      </c>
      <c r="D66">
        <v>0</v>
      </c>
      <c r="E66">
        <v>0</v>
      </c>
      <c r="F66" s="4">
        <v>1</v>
      </c>
      <c r="G66">
        <v>1</v>
      </c>
    </row>
    <row r="67" spans="1:7" x14ac:dyDescent="0.25">
      <c r="A67" t="s">
        <v>140</v>
      </c>
      <c r="B67" t="s">
        <v>141</v>
      </c>
      <c r="C67">
        <v>0</v>
      </c>
      <c r="D67">
        <v>4</v>
      </c>
      <c r="E67">
        <v>1</v>
      </c>
      <c r="F67" s="4">
        <v>0</v>
      </c>
      <c r="G67">
        <v>5</v>
      </c>
    </row>
    <row r="68" spans="1:7" x14ac:dyDescent="0.25">
      <c r="A68" t="s">
        <v>142</v>
      </c>
      <c r="B68" t="s">
        <v>143</v>
      </c>
      <c r="C68">
        <v>0</v>
      </c>
      <c r="D68">
        <v>3</v>
      </c>
      <c r="E68">
        <v>4</v>
      </c>
      <c r="F68" s="4">
        <v>0</v>
      </c>
      <c r="G68">
        <v>7</v>
      </c>
    </row>
    <row r="69" spans="1:7" x14ac:dyDescent="0.25">
      <c r="A69" t="s">
        <v>144</v>
      </c>
      <c r="B69" t="s">
        <v>145</v>
      </c>
      <c r="C69">
        <v>0</v>
      </c>
      <c r="D69">
        <v>3</v>
      </c>
      <c r="E69">
        <v>2</v>
      </c>
      <c r="F69" s="4">
        <v>0</v>
      </c>
      <c r="G69">
        <v>5</v>
      </c>
    </row>
    <row r="70" spans="1:7" x14ac:dyDescent="0.25">
      <c r="A70" t="s">
        <v>146</v>
      </c>
      <c r="B70" t="s">
        <v>147</v>
      </c>
      <c r="C70">
        <v>0</v>
      </c>
      <c r="D70">
        <v>2</v>
      </c>
      <c r="E70">
        <v>2</v>
      </c>
      <c r="F70" s="4">
        <v>0</v>
      </c>
      <c r="G70">
        <v>4</v>
      </c>
    </row>
    <row r="71" spans="1:7" x14ac:dyDescent="0.25">
      <c r="A71" t="s">
        <v>148</v>
      </c>
      <c r="B71" t="s">
        <v>149</v>
      </c>
      <c r="C71">
        <v>0</v>
      </c>
      <c r="D71">
        <v>2</v>
      </c>
      <c r="E71">
        <v>1</v>
      </c>
      <c r="F71" s="4">
        <v>0</v>
      </c>
      <c r="G71">
        <v>3</v>
      </c>
    </row>
    <row r="72" spans="1:7" x14ac:dyDescent="0.25">
      <c r="A72" t="s">
        <v>150</v>
      </c>
      <c r="B72" t="s">
        <v>151</v>
      </c>
      <c r="C72">
        <v>0</v>
      </c>
      <c r="D72">
        <v>1</v>
      </c>
      <c r="E72">
        <v>3</v>
      </c>
      <c r="F72" s="4">
        <v>0</v>
      </c>
      <c r="G72">
        <v>4</v>
      </c>
    </row>
    <row r="73" spans="1:7" x14ac:dyDescent="0.25">
      <c r="A73" t="s">
        <v>152</v>
      </c>
      <c r="B73" t="s">
        <v>153</v>
      </c>
      <c r="C73">
        <v>0</v>
      </c>
      <c r="D73">
        <v>1</v>
      </c>
      <c r="E73">
        <v>2</v>
      </c>
      <c r="F73" s="4">
        <v>0</v>
      </c>
      <c r="G73">
        <v>3</v>
      </c>
    </row>
    <row r="74" spans="1:7" x14ac:dyDescent="0.25">
      <c r="A74" t="s">
        <v>152</v>
      </c>
      <c r="B74" t="s">
        <v>154</v>
      </c>
      <c r="C74">
        <v>0</v>
      </c>
      <c r="D74">
        <v>1</v>
      </c>
      <c r="E74">
        <v>2</v>
      </c>
      <c r="F74" s="4">
        <v>0</v>
      </c>
      <c r="G74">
        <v>3</v>
      </c>
    </row>
    <row r="75" spans="1:7" x14ac:dyDescent="0.25">
      <c r="A75" t="s">
        <v>155</v>
      </c>
      <c r="B75" t="s">
        <v>156</v>
      </c>
      <c r="C75">
        <v>0</v>
      </c>
      <c r="D75">
        <v>1</v>
      </c>
      <c r="E75">
        <v>1</v>
      </c>
      <c r="F75" s="4">
        <v>0</v>
      </c>
      <c r="G75">
        <v>2</v>
      </c>
    </row>
    <row r="76" spans="1:7" x14ac:dyDescent="0.25">
      <c r="A76" t="s">
        <v>155</v>
      </c>
      <c r="B76" t="s">
        <v>157</v>
      </c>
      <c r="C76">
        <v>0</v>
      </c>
      <c r="D76">
        <v>1</v>
      </c>
      <c r="E76">
        <v>1</v>
      </c>
      <c r="F76" s="4">
        <v>0</v>
      </c>
      <c r="G76">
        <v>2</v>
      </c>
    </row>
    <row r="77" spans="1:7" x14ac:dyDescent="0.25">
      <c r="A77" t="s">
        <v>155</v>
      </c>
      <c r="B77" t="s">
        <v>158</v>
      </c>
      <c r="C77">
        <v>0</v>
      </c>
      <c r="D77">
        <v>1</v>
      </c>
      <c r="E77">
        <v>1</v>
      </c>
      <c r="F77" s="4">
        <v>0</v>
      </c>
      <c r="G77">
        <v>2</v>
      </c>
    </row>
    <row r="78" spans="1:7" x14ac:dyDescent="0.25">
      <c r="A78" t="s">
        <v>159</v>
      </c>
      <c r="B78" t="s">
        <v>160</v>
      </c>
      <c r="C78">
        <v>0</v>
      </c>
      <c r="D78">
        <v>1</v>
      </c>
      <c r="E78">
        <v>0</v>
      </c>
      <c r="F78" s="4">
        <v>0</v>
      </c>
      <c r="G78">
        <v>1</v>
      </c>
    </row>
    <row r="79" spans="1:7" x14ac:dyDescent="0.25">
      <c r="A79" t="s">
        <v>159</v>
      </c>
      <c r="B79" t="s">
        <v>161</v>
      </c>
      <c r="C79">
        <v>0</v>
      </c>
      <c r="D79">
        <v>1</v>
      </c>
      <c r="E79">
        <v>0</v>
      </c>
      <c r="F79" s="4">
        <v>0</v>
      </c>
      <c r="G79">
        <v>1</v>
      </c>
    </row>
    <row r="80" spans="1:7" x14ac:dyDescent="0.25">
      <c r="A80" t="s">
        <v>159</v>
      </c>
      <c r="B80" t="s">
        <v>162</v>
      </c>
      <c r="C80">
        <v>0</v>
      </c>
      <c r="D80">
        <v>1</v>
      </c>
      <c r="E80">
        <v>0</v>
      </c>
      <c r="F80" s="4">
        <v>0</v>
      </c>
      <c r="G80">
        <v>1</v>
      </c>
    </row>
    <row r="81" spans="1:7" x14ac:dyDescent="0.25">
      <c r="A81" t="s">
        <v>159</v>
      </c>
      <c r="B81" t="s">
        <v>163</v>
      </c>
      <c r="C81">
        <v>0</v>
      </c>
      <c r="D81">
        <v>1</v>
      </c>
      <c r="E81">
        <v>0</v>
      </c>
      <c r="F81" s="4">
        <v>0</v>
      </c>
      <c r="G81">
        <v>1</v>
      </c>
    </row>
    <row r="82" spans="1:7" x14ac:dyDescent="0.25">
      <c r="A82" t="s">
        <v>159</v>
      </c>
      <c r="B82" t="s">
        <v>164</v>
      </c>
      <c r="C82">
        <v>0</v>
      </c>
      <c r="D82">
        <v>1</v>
      </c>
      <c r="E82">
        <v>0</v>
      </c>
      <c r="F82" s="4">
        <v>0</v>
      </c>
      <c r="G82">
        <v>1</v>
      </c>
    </row>
    <row r="83" spans="1:7" x14ac:dyDescent="0.25">
      <c r="A83" t="s">
        <v>159</v>
      </c>
      <c r="B83" t="s">
        <v>165</v>
      </c>
      <c r="C83">
        <v>0</v>
      </c>
      <c r="D83">
        <v>1</v>
      </c>
      <c r="E83">
        <v>0</v>
      </c>
      <c r="F83" s="4">
        <v>0</v>
      </c>
      <c r="G83">
        <v>1</v>
      </c>
    </row>
    <row r="84" spans="1:7" x14ac:dyDescent="0.25">
      <c r="A84" t="s">
        <v>166</v>
      </c>
      <c r="B84" t="s">
        <v>167</v>
      </c>
      <c r="C84">
        <v>0</v>
      </c>
      <c r="D84">
        <v>0</v>
      </c>
      <c r="E84">
        <v>8</v>
      </c>
      <c r="F84" s="4">
        <v>0</v>
      </c>
      <c r="G84">
        <v>8</v>
      </c>
    </row>
    <row r="85" spans="1:7" x14ac:dyDescent="0.25">
      <c r="A85" t="s">
        <v>168</v>
      </c>
      <c r="B85" t="s">
        <v>169</v>
      </c>
      <c r="C85">
        <v>0</v>
      </c>
      <c r="D85">
        <v>0</v>
      </c>
      <c r="E85">
        <v>4</v>
      </c>
      <c r="F85" s="4">
        <v>0</v>
      </c>
      <c r="G85">
        <v>4</v>
      </c>
    </row>
    <row r="86" spans="1:7" x14ac:dyDescent="0.25">
      <c r="A86" t="s">
        <v>170</v>
      </c>
      <c r="B86" t="s">
        <v>171</v>
      </c>
      <c r="C86">
        <v>0</v>
      </c>
      <c r="D86">
        <v>0</v>
      </c>
      <c r="E86">
        <v>2</v>
      </c>
      <c r="F86" s="4">
        <v>0</v>
      </c>
      <c r="G86">
        <v>2</v>
      </c>
    </row>
    <row r="87" spans="1:7" x14ac:dyDescent="0.25">
      <c r="A87" t="s">
        <v>172</v>
      </c>
      <c r="B87" t="s">
        <v>173</v>
      </c>
      <c r="C87">
        <v>0</v>
      </c>
      <c r="D87">
        <v>0</v>
      </c>
      <c r="E87">
        <v>1</v>
      </c>
      <c r="F87" s="4">
        <v>0</v>
      </c>
      <c r="G87">
        <v>1</v>
      </c>
    </row>
    <row r="88" spans="1:7" x14ac:dyDescent="0.25">
      <c r="A88" t="s">
        <v>172</v>
      </c>
      <c r="B88" t="s">
        <v>174</v>
      </c>
      <c r="C88">
        <v>0</v>
      </c>
      <c r="D88">
        <v>0</v>
      </c>
      <c r="E88">
        <v>1</v>
      </c>
      <c r="F88" s="4">
        <v>0</v>
      </c>
      <c r="G88">
        <v>1</v>
      </c>
    </row>
    <row r="89" spans="1:7" x14ac:dyDescent="0.25">
      <c r="A89" t="s">
        <v>172</v>
      </c>
      <c r="B89" t="s">
        <v>175</v>
      </c>
      <c r="C89">
        <v>0</v>
      </c>
      <c r="D89">
        <v>0</v>
      </c>
      <c r="E89">
        <v>1</v>
      </c>
      <c r="F89" s="4">
        <v>0</v>
      </c>
      <c r="G89">
        <v>1</v>
      </c>
    </row>
    <row r="90" spans="1:7" x14ac:dyDescent="0.25">
      <c r="A90" t="s">
        <v>172</v>
      </c>
      <c r="B90" t="s">
        <v>176</v>
      </c>
      <c r="C90">
        <v>0</v>
      </c>
      <c r="D90">
        <v>0</v>
      </c>
      <c r="E90">
        <v>1</v>
      </c>
      <c r="F90" s="4">
        <v>0</v>
      </c>
      <c r="G90">
        <v>1</v>
      </c>
    </row>
    <row r="91" spans="1:7" x14ac:dyDescent="0.25">
      <c r="A91" t="s">
        <v>172</v>
      </c>
      <c r="B91" t="s">
        <v>177</v>
      </c>
      <c r="C91">
        <v>0</v>
      </c>
      <c r="D91">
        <v>0</v>
      </c>
      <c r="E91">
        <v>1</v>
      </c>
      <c r="F91" s="4">
        <v>0</v>
      </c>
      <c r="G91">
        <v>1</v>
      </c>
    </row>
    <row r="92" spans="1:7" x14ac:dyDescent="0.25">
      <c r="A92" t="s">
        <v>172</v>
      </c>
      <c r="B92" t="s">
        <v>178</v>
      </c>
      <c r="C92">
        <v>0</v>
      </c>
      <c r="D92">
        <v>0</v>
      </c>
      <c r="E92">
        <v>1</v>
      </c>
      <c r="F92" s="4">
        <v>0</v>
      </c>
      <c r="G92">
        <v>1</v>
      </c>
    </row>
    <row r="93" spans="1:7" x14ac:dyDescent="0.25">
      <c r="A93" t="s">
        <v>172</v>
      </c>
      <c r="B93" t="s">
        <v>179</v>
      </c>
      <c r="C93">
        <v>0</v>
      </c>
      <c r="D93">
        <v>0</v>
      </c>
      <c r="E93">
        <v>1</v>
      </c>
      <c r="F93" s="4">
        <v>0</v>
      </c>
      <c r="G93">
        <v>1</v>
      </c>
    </row>
    <row r="94" spans="1:7" x14ac:dyDescent="0.25">
      <c r="A94" t="s">
        <v>172</v>
      </c>
      <c r="B94" t="s">
        <v>180</v>
      </c>
      <c r="C94">
        <v>0</v>
      </c>
      <c r="D94">
        <v>0</v>
      </c>
      <c r="E94">
        <v>1</v>
      </c>
      <c r="F94" s="4">
        <v>0</v>
      </c>
      <c r="G94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9633-A4D8-4466-8F50-50B3C77CB4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5300-C8EA-479D-9E02-AE02BE2942BD}">
  <dimension ref="B2:L264"/>
  <sheetViews>
    <sheetView workbookViewId="0">
      <selection activeCell="F20" sqref="F20"/>
    </sheetView>
  </sheetViews>
  <sheetFormatPr defaultRowHeight="15" x14ac:dyDescent="0.25"/>
  <cols>
    <col min="2" max="2" width="25.85546875" bestFit="1" customWidth="1"/>
    <col min="3" max="3" width="10.5703125" bestFit="1" customWidth="1"/>
    <col min="4" max="4" width="14" bestFit="1" customWidth="1"/>
    <col min="5" max="5" width="11.5703125" bestFit="1" customWidth="1"/>
    <col min="6" max="6" width="31.7109375" bestFit="1" customWidth="1"/>
    <col min="12" max="12" width="14.42578125" bestFit="1" customWidth="1"/>
  </cols>
  <sheetData>
    <row r="2" spans="2:12" x14ac:dyDescent="0.25">
      <c r="B2" s="6" t="s">
        <v>185</v>
      </c>
      <c r="C2" s="6" t="s">
        <v>922</v>
      </c>
      <c r="D2" s="6" t="s">
        <v>923</v>
      </c>
      <c r="E2" s="6" t="s">
        <v>946</v>
      </c>
      <c r="F2" s="6" t="s">
        <v>947</v>
      </c>
    </row>
    <row r="3" spans="2:12" x14ac:dyDescent="0.25">
      <c r="B3" t="s">
        <v>214</v>
      </c>
      <c r="C3">
        <f>COUNTIFS(staff4[Department],B3:B14)</f>
        <v>1</v>
      </c>
      <c r="D3" s="18">
        <f>SUMIFS(staff4[Salary],staff4[Department],'Sumifs and countifs'!B3:B14)</f>
        <v>96135.75</v>
      </c>
      <c r="E3" s="19">
        <f>AVERAGEIFS(staff4[Salary],staff4[Department],B3)</f>
        <v>96135.75</v>
      </c>
      <c r="F3">
        <f>COUNTIFS(staff4[Employee type],L5)</f>
        <v>12</v>
      </c>
    </row>
    <row r="4" spans="2:12" x14ac:dyDescent="0.25">
      <c r="B4" t="s">
        <v>205</v>
      </c>
      <c r="C4">
        <f>COUNTIFS(staff4[Department],B4:B15)</f>
        <v>1</v>
      </c>
      <c r="D4" s="18">
        <f>SUMIFS(staff4[Salary],staff4[Department],'Sumifs and countifs'!B4:B15)</f>
        <v>70649.460000000006</v>
      </c>
      <c r="E4" s="19">
        <f>AVERAGEIFS(staff4[Salary],staff4[Department],B4)</f>
        <v>70649.460000000006</v>
      </c>
      <c r="F4">
        <f>COUNTIFS(staff4[Employee type],L6)</f>
        <v>12</v>
      </c>
      <c r="J4">
        <f>COUNTIFS(L4:L264,L6)</f>
        <v>168</v>
      </c>
      <c r="L4" s="15" t="s">
        <v>190</v>
      </c>
    </row>
    <row r="5" spans="2:12" x14ac:dyDescent="0.25">
      <c r="B5" t="s">
        <v>197</v>
      </c>
      <c r="C5">
        <f>COUNTIFS(staff4[Department],B5:B16)</f>
        <v>1</v>
      </c>
      <c r="D5" s="18">
        <f>SUMIFS(staff4[Salary],staff4[Department],'Sumifs and countifs'!B5:B16)</f>
        <v>120000</v>
      </c>
      <c r="E5" s="19">
        <f>AVERAGEIFS(staff4[Salary],staff4[Department],B5)</f>
        <v>120000</v>
      </c>
      <c r="F5">
        <f>COUNTIFS(staff4[Employee type],L7)</f>
        <v>12</v>
      </c>
      <c r="L5" s="16" t="s">
        <v>199</v>
      </c>
    </row>
    <row r="6" spans="2:12" x14ac:dyDescent="0.25">
      <c r="B6" t="s">
        <v>228</v>
      </c>
      <c r="C6">
        <f>COUNTIFS(staff4[Department],B6:B17)</f>
        <v>1</v>
      </c>
      <c r="D6" s="18">
        <f>SUMIFS(staff4[Salary],staff4[Department],'Sumifs and countifs'!B6:B17)</f>
        <v>67905.8</v>
      </c>
      <c r="E6" s="19">
        <f>AVERAGEIFS(staff4[Salary],staff4[Department],B6)</f>
        <v>67905.8</v>
      </c>
      <c r="F6">
        <f>COUNTIFS(staff4[Employee type],L8)</f>
        <v>12</v>
      </c>
      <c r="L6" s="17" t="s">
        <v>199</v>
      </c>
    </row>
    <row r="7" spans="2:12" x14ac:dyDescent="0.25">
      <c r="B7" t="s">
        <v>282</v>
      </c>
      <c r="C7">
        <f>COUNTIFS(staff4[Department],B7:B18)</f>
        <v>1</v>
      </c>
      <c r="D7" s="18">
        <f>SUMIFS(staff4[Salary],staff4[Department],'Sumifs and countifs'!B7:B18)</f>
        <v>63705.4</v>
      </c>
      <c r="E7" s="19">
        <f>AVERAGEIFS(staff4[Salary],staff4[Department],B7)</f>
        <v>63705.4</v>
      </c>
      <c r="F7">
        <f>COUNTIFS(staff4[Employee type],L9)</f>
        <v>12</v>
      </c>
      <c r="L7" s="16" t="s">
        <v>199</v>
      </c>
    </row>
    <row r="8" spans="2:12" x14ac:dyDescent="0.25">
      <c r="B8" t="s">
        <v>261</v>
      </c>
      <c r="C8">
        <f>COUNTIFS(staff4[Department],B8:B19)</f>
        <v>1</v>
      </c>
      <c r="D8" s="18">
        <f>SUMIFS(staff4[Salary],staff4[Department],'Sumifs and countifs'!B8:B19)</f>
        <v>114177.23</v>
      </c>
      <c r="E8" s="19">
        <f>AVERAGEIFS(staff4[Salary],staff4[Department],B8)</f>
        <v>114177.23</v>
      </c>
      <c r="F8">
        <f>COUNTIFS(staff4[Employee type],L10)</f>
        <v>12</v>
      </c>
      <c r="L8" s="17" t="s">
        <v>199</v>
      </c>
    </row>
    <row r="9" spans="2:12" x14ac:dyDescent="0.25">
      <c r="B9" t="s">
        <v>258</v>
      </c>
      <c r="C9">
        <f>COUNTIFS(staff4[Department],B9:B20)</f>
        <v>1</v>
      </c>
      <c r="D9" s="18">
        <f>SUMIFS(staff4[Salary],staff4[Department],'Sumifs and countifs'!B9:B20)</f>
        <v>50310.09</v>
      </c>
      <c r="E9" s="19">
        <f>AVERAGEIFS(staff4[Salary],staff4[Department],B9)</f>
        <v>50310.09</v>
      </c>
      <c r="F9">
        <f>COUNTIFS(staff4[Employee type],L11)</f>
        <v>12</v>
      </c>
      <c r="L9" s="16" t="s">
        <v>199</v>
      </c>
    </row>
    <row r="10" spans="2:12" x14ac:dyDescent="0.25">
      <c r="B10" t="s">
        <v>924</v>
      </c>
      <c r="C10">
        <f>COUNTIFS(staff4[Department],B10:B21)</f>
        <v>1</v>
      </c>
      <c r="D10" s="18">
        <f>SUMIFS(staff4[Salary],staff4[Department],'Sumifs and countifs'!B10:B21)</f>
        <v>84309.95</v>
      </c>
      <c r="E10" s="19">
        <f>AVERAGEIFS(staff4[Salary],staff4[Department],B10)</f>
        <v>84309.95</v>
      </c>
      <c r="F10">
        <f>COUNTIFS(staff4[Employee type],L12)</f>
        <v>12</v>
      </c>
      <c r="L10" s="17" t="s">
        <v>199</v>
      </c>
    </row>
    <row r="11" spans="2:12" x14ac:dyDescent="0.25">
      <c r="B11" t="s">
        <v>211</v>
      </c>
      <c r="C11">
        <f>COUNTIFS(staff4[Department],B11:B22)</f>
        <v>1</v>
      </c>
      <c r="D11" s="18">
        <f>SUMIFS(staff4[Salary],staff4[Department],'Sumifs and countifs'!B11:B22)</f>
        <v>84742.86</v>
      </c>
      <c r="E11" s="19">
        <f>AVERAGEIFS(staff4[Salary],staff4[Department],B11)</f>
        <v>84742.86</v>
      </c>
      <c r="F11">
        <f>COUNTIFS(staff4[Employee type],L13)</f>
        <v>12</v>
      </c>
      <c r="L11" s="16" t="s">
        <v>199</v>
      </c>
    </row>
    <row r="12" spans="2:12" x14ac:dyDescent="0.25">
      <c r="B12" t="s">
        <v>277</v>
      </c>
      <c r="C12">
        <f>COUNTIFS(staff4[Department],B12:B23)</f>
        <v>1</v>
      </c>
      <c r="D12" s="18">
        <f>SUMIFS(staff4[Salary],staff4[Department],'Sumifs and countifs'!B12:B23)</f>
        <v>72502.61</v>
      </c>
      <c r="E12" s="19">
        <f>AVERAGEIFS(staff4[Salary],staff4[Department],B12)</f>
        <v>72502.61</v>
      </c>
      <c r="F12">
        <f>COUNTIFS(staff4[Employee type],L14)</f>
        <v>12</v>
      </c>
      <c r="L12" s="17" t="s">
        <v>199</v>
      </c>
    </row>
    <row r="13" spans="2:12" x14ac:dyDescent="0.25">
      <c r="B13" t="s">
        <v>225</v>
      </c>
      <c r="C13">
        <f>COUNTIFS(staff4[Department],B13:B24)</f>
        <v>1</v>
      </c>
      <c r="D13" s="18">
        <f>SUMIFS(staff4[Salary],staff4[Department],'Sumifs and countifs'!B13:B24)</f>
        <v>75974.990000000005</v>
      </c>
      <c r="E13" s="19">
        <f>AVERAGEIFS(staff4[Salary],staff4[Department],B13)</f>
        <v>75974.990000000005</v>
      </c>
      <c r="F13">
        <f>COUNTIFS(staff4[Employee type],L15)</f>
        <v>12</v>
      </c>
      <c r="L13" s="16" t="s">
        <v>199</v>
      </c>
    </row>
    <row r="14" spans="2:12" x14ac:dyDescent="0.25">
      <c r="B14" t="s">
        <v>264</v>
      </c>
      <c r="C14">
        <f>COUNTIFS(staff4[Department],B14:B25)</f>
        <v>1</v>
      </c>
      <c r="D14" s="18">
        <f>SUMIFS(staff4[Salary],staff4[Department],'Sumifs and countifs'!B14:B25)</f>
        <v>41934.71</v>
      </c>
      <c r="E14" s="19">
        <f>AVERAGEIFS(staff4[Salary],staff4[Department],B14)</f>
        <v>41934.71</v>
      </c>
      <c r="F14">
        <f>COUNTIFS(staff4[Employee type],L16)</f>
        <v>12</v>
      </c>
      <c r="L14" s="17" t="s">
        <v>199</v>
      </c>
    </row>
    <row r="15" spans="2:12" x14ac:dyDescent="0.25">
      <c r="L15" s="16" t="s">
        <v>199</v>
      </c>
    </row>
    <row r="16" spans="2:12" x14ac:dyDescent="0.25">
      <c r="L16" s="17" t="s">
        <v>199</v>
      </c>
    </row>
    <row r="17" spans="12:12" x14ac:dyDescent="0.25">
      <c r="L17" s="16" t="s">
        <v>199</v>
      </c>
    </row>
    <row r="18" spans="12:12" x14ac:dyDescent="0.25">
      <c r="L18" s="17" t="s">
        <v>199</v>
      </c>
    </row>
    <row r="19" spans="12:12" x14ac:dyDescent="0.25">
      <c r="L19" s="16" t="s">
        <v>199</v>
      </c>
    </row>
    <row r="20" spans="12:12" x14ac:dyDescent="0.25">
      <c r="L20" s="17" t="s">
        <v>199</v>
      </c>
    </row>
    <row r="21" spans="12:12" x14ac:dyDescent="0.25">
      <c r="L21" s="16" t="s">
        <v>199</v>
      </c>
    </row>
    <row r="22" spans="12:12" x14ac:dyDescent="0.25">
      <c r="L22" s="17" t="s">
        <v>199</v>
      </c>
    </row>
    <row r="23" spans="12:12" x14ac:dyDescent="0.25">
      <c r="L23" s="16" t="s">
        <v>199</v>
      </c>
    </row>
    <row r="24" spans="12:12" x14ac:dyDescent="0.25">
      <c r="L24" s="17" t="s">
        <v>199</v>
      </c>
    </row>
    <row r="25" spans="12:12" x14ac:dyDescent="0.25">
      <c r="L25" s="16" t="s">
        <v>199</v>
      </c>
    </row>
    <row r="26" spans="12:12" x14ac:dyDescent="0.25">
      <c r="L26" s="17" t="s">
        <v>199</v>
      </c>
    </row>
    <row r="27" spans="12:12" x14ac:dyDescent="0.25">
      <c r="L27" s="16" t="s">
        <v>199</v>
      </c>
    </row>
    <row r="28" spans="12:12" x14ac:dyDescent="0.25">
      <c r="L28" s="17" t="s">
        <v>199</v>
      </c>
    </row>
    <row r="29" spans="12:12" x14ac:dyDescent="0.25">
      <c r="L29" s="16" t="s">
        <v>199</v>
      </c>
    </row>
    <row r="30" spans="12:12" x14ac:dyDescent="0.25">
      <c r="L30" s="17" t="s">
        <v>199</v>
      </c>
    </row>
    <row r="31" spans="12:12" x14ac:dyDescent="0.25">
      <c r="L31" s="16" t="s">
        <v>199</v>
      </c>
    </row>
    <row r="32" spans="12:12" x14ac:dyDescent="0.25">
      <c r="L32" s="17" t="s">
        <v>199</v>
      </c>
    </row>
    <row r="33" spans="12:12" x14ac:dyDescent="0.25">
      <c r="L33" s="16" t="s">
        <v>199</v>
      </c>
    </row>
    <row r="34" spans="12:12" x14ac:dyDescent="0.25">
      <c r="L34" s="17" t="s">
        <v>199</v>
      </c>
    </row>
    <row r="35" spans="12:12" x14ac:dyDescent="0.25">
      <c r="L35" s="16" t="s">
        <v>199</v>
      </c>
    </row>
    <row r="36" spans="12:12" x14ac:dyDescent="0.25">
      <c r="L36" s="17" t="s">
        <v>199</v>
      </c>
    </row>
    <row r="37" spans="12:12" x14ac:dyDescent="0.25">
      <c r="L37" s="16" t="s">
        <v>199</v>
      </c>
    </row>
    <row r="38" spans="12:12" x14ac:dyDescent="0.25">
      <c r="L38" s="17" t="s">
        <v>199</v>
      </c>
    </row>
    <row r="39" spans="12:12" x14ac:dyDescent="0.25">
      <c r="L39" s="16" t="s">
        <v>199</v>
      </c>
    </row>
    <row r="40" spans="12:12" x14ac:dyDescent="0.25">
      <c r="L40" s="17" t="s">
        <v>199</v>
      </c>
    </row>
    <row r="41" spans="12:12" x14ac:dyDescent="0.25">
      <c r="L41" s="16" t="s">
        <v>199</v>
      </c>
    </row>
    <row r="42" spans="12:12" x14ac:dyDescent="0.25">
      <c r="L42" s="17" t="s">
        <v>199</v>
      </c>
    </row>
    <row r="43" spans="12:12" x14ac:dyDescent="0.25">
      <c r="L43" s="16" t="s">
        <v>199</v>
      </c>
    </row>
    <row r="44" spans="12:12" x14ac:dyDescent="0.25">
      <c r="L44" s="17" t="s">
        <v>199</v>
      </c>
    </row>
    <row r="45" spans="12:12" x14ac:dyDescent="0.25">
      <c r="L45" s="16" t="s">
        <v>199</v>
      </c>
    </row>
    <row r="46" spans="12:12" x14ac:dyDescent="0.25">
      <c r="L46" s="17" t="s">
        <v>199</v>
      </c>
    </row>
    <row r="47" spans="12:12" x14ac:dyDescent="0.25">
      <c r="L47" s="16" t="s">
        <v>199</v>
      </c>
    </row>
    <row r="48" spans="12:12" x14ac:dyDescent="0.25">
      <c r="L48" s="17" t="s">
        <v>199</v>
      </c>
    </row>
    <row r="49" spans="12:12" x14ac:dyDescent="0.25">
      <c r="L49" s="16" t="s">
        <v>199</v>
      </c>
    </row>
    <row r="50" spans="12:12" x14ac:dyDescent="0.25">
      <c r="L50" s="17" t="s">
        <v>199</v>
      </c>
    </row>
    <row r="51" spans="12:12" x14ac:dyDescent="0.25">
      <c r="L51" s="16" t="s">
        <v>199</v>
      </c>
    </row>
    <row r="52" spans="12:12" x14ac:dyDescent="0.25">
      <c r="L52" s="17" t="s">
        <v>199</v>
      </c>
    </row>
    <row r="53" spans="12:12" x14ac:dyDescent="0.25">
      <c r="L53" s="16" t="s">
        <v>199</v>
      </c>
    </row>
    <row r="54" spans="12:12" x14ac:dyDescent="0.25">
      <c r="L54" s="17" t="s">
        <v>199</v>
      </c>
    </row>
    <row r="55" spans="12:12" x14ac:dyDescent="0.25">
      <c r="L55" s="16" t="s">
        <v>199</v>
      </c>
    </row>
    <row r="56" spans="12:12" x14ac:dyDescent="0.25">
      <c r="L56" s="17" t="s">
        <v>199</v>
      </c>
    </row>
    <row r="57" spans="12:12" x14ac:dyDescent="0.25">
      <c r="L57" s="16" t="s">
        <v>199</v>
      </c>
    </row>
    <row r="58" spans="12:12" x14ac:dyDescent="0.25">
      <c r="L58" s="17" t="s">
        <v>199</v>
      </c>
    </row>
    <row r="59" spans="12:12" x14ac:dyDescent="0.25">
      <c r="L59" s="16" t="s">
        <v>199</v>
      </c>
    </row>
    <row r="60" spans="12:12" x14ac:dyDescent="0.25">
      <c r="L60" s="17" t="s">
        <v>199</v>
      </c>
    </row>
    <row r="61" spans="12:12" x14ac:dyDescent="0.25">
      <c r="L61" s="16" t="s">
        <v>199</v>
      </c>
    </row>
    <row r="62" spans="12:12" x14ac:dyDescent="0.25">
      <c r="L62" s="17" t="s">
        <v>199</v>
      </c>
    </row>
    <row r="63" spans="12:12" x14ac:dyDescent="0.25">
      <c r="L63" s="16" t="s">
        <v>199</v>
      </c>
    </row>
    <row r="64" spans="12:12" x14ac:dyDescent="0.25">
      <c r="L64" s="17" t="s">
        <v>199</v>
      </c>
    </row>
    <row r="65" spans="12:12" x14ac:dyDescent="0.25">
      <c r="L65" s="16" t="s">
        <v>199</v>
      </c>
    </row>
    <row r="66" spans="12:12" x14ac:dyDescent="0.25">
      <c r="L66" s="17" t="s">
        <v>199</v>
      </c>
    </row>
    <row r="67" spans="12:12" x14ac:dyDescent="0.25">
      <c r="L67" s="16" t="s">
        <v>199</v>
      </c>
    </row>
    <row r="68" spans="12:12" x14ac:dyDescent="0.25">
      <c r="L68" s="17" t="s">
        <v>199</v>
      </c>
    </row>
    <row r="69" spans="12:12" x14ac:dyDescent="0.25">
      <c r="L69" s="16" t="s">
        <v>199</v>
      </c>
    </row>
    <row r="70" spans="12:12" x14ac:dyDescent="0.25">
      <c r="L70" s="17" t="s">
        <v>199</v>
      </c>
    </row>
    <row r="71" spans="12:12" x14ac:dyDescent="0.25">
      <c r="L71" s="16" t="s">
        <v>199</v>
      </c>
    </row>
    <row r="72" spans="12:12" x14ac:dyDescent="0.25">
      <c r="L72" s="17" t="s">
        <v>199</v>
      </c>
    </row>
    <row r="73" spans="12:12" x14ac:dyDescent="0.25">
      <c r="L73" s="16" t="s">
        <v>199</v>
      </c>
    </row>
    <row r="74" spans="12:12" x14ac:dyDescent="0.25">
      <c r="L74" s="17" t="s">
        <v>199</v>
      </c>
    </row>
    <row r="75" spans="12:12" x14ac:dyDescent="0.25">
      <c r="L75" s="16" t="s">
        <v>199</v>
      </c>
    </row>
    <row r="76" spans="12:12" x14ac:dyDescent="0.25">
      <c r="L76" s="17" t="s">
        <v>199</v>
      </c>
    </row>
    <row r="77" spans="12:12" x14ac:dyDescent="0.25">
      <c r="L77" s="16" t="s">
        <v>199</v>
      </c>
    </row>
    <row r="78" spans="12:12" x14ac:dyDescent="0.25">
      <c r="L78" s="17" t="s">
        <v>199</v>
      </c>
    </row>
    <row r="79" spans="12:12" x14ac:dyDescent="0.25">
      <c r="L79" s="16" t="s">
        <v>199</v>
      </c>
    </row>
    <row r="80" spans="12:12" x14ac:dyDescent="0.25">
      <c r="L80" s="17" t="s">
        <v>199</v>
      </c>
    </row>
    <row r="81" spans="12:12" x14ac:dyDescent="0.25">
      <c r="L81" s="16" t="s">
        <v>199</v>
      </c>
    </row>
    <row r="82" spans="12:12" x14ac:dyDescent="0.25">
      <c r="L82" s="17" t="s">
        <v>199</v>
      </c>
    </row>
    <row r="83" spans="12:12" x14ac:dyDescent="0.25">
      <c r="L83" s="16" t="s">
        <v>199</v>
      </c>
    </row>
    <row r="84" spans="12:12" x14ac:dyDescent="0.25">
      <c r="L84" s="17" t="s">
        <v>199</v>
      </c>
    </row>
    <row r="85" spans="12:12" x14ac:dyDescent="0.25">
      <c r="L85" s="16" t="s">
        <v>199</v>
      </c>
    </row>
    <row r="86" spans="12:12" x14ac:dyDescent="0.25">
      <c r="L86" s="17" t="s">
        <v>199</v>
      </c>
    </row>
    <row r="87" spans="12:12" x14ac:dyDescent="0.25">
      <c r="L87" s="16" t="s">
        <v>199</v>
      </c>
    </row>
    <row r="88" spans="12:12" x14ac:dyDescent="0.25">
      <c r="L88" s="17" t="s">
        <v>199</v>
      </c>
    </row>
    <row r="89" spans="12:12" x14ac:dyDescent="0.25">
      <c r="L89" s="16" t="s">
        <v>199</v>
      </c>
    </row>
    <row r="90" spans="12:12" x14ac:dyDescent="0.25">
      <c r="L90" s="17" t="s">
        <v>199</v>
      </c>
    </row>
    <row r="91" spans="12:12" x14ac:dyDescent="0.25">
      <c r="L91" s="16" t="s">
        <v>199</v>
      </c>
    </row>
    <row r="92" spans="12:12" x14ac:dyDescent="0.25">
      <c r="L92" s="17" t="s">
        <v>199</v>
      </c>
    </row>
    <row r="93" spans="12:12" x14ac:dyDescent="0.25">
      <c r="L93" s="16" t="s">
        <v>199</v>
      </c>
    </row>
    <row r="94" spans="12:12" x14ac:dyDescent="0.25">
      <c r="L94" s="17" t="s">
        <v>199</v>
      </c>
    </row>
    <row r="95" spans="12:12" x14ac:dyDescent="0.25">
      <c r="L95" s="16" t="s">
        <v>199</v>
      </c>
    </row>
    <row r="96" spans="12:12" x14ac:dyDescent="0.25">
      <c r="L96" s="17" t="s">
        <v>199</v>
      </c>
    </row>
    <row r="97" spans="12:12" x14ac:dyDescent="0.25">
      <c r="L97" s="16" t="s">
        <v>199</v>
      </c>
    </row>
    <row r="98" spans="12:12" x14ac:dyDescent="0.25">
      <c r="L98" s="17" t="s">
        <v>199</v>
      </c>
    </row>
    <row r="99" spans="12:12" x14ac:dyDescent="0.25">
      <c r="L99" s="16" t="s">
        <v>199</v>
      </c>
    </row>
    <row r="100" spans="12:12" x14ac:dyDescent="0.25">
      <c r="L100" s="17" t="s">
        <v>199</v>
      </c>
    </row>
    <row r="101" spans="12:12" x14ac:dyDescent="0.25">
      <c r="L101" s="16" t="s">
        <v>199</v>
      </c>
    </row>
    <row r="102" spans="12:12" x14ac:dyDescent="0.25">
      <c r="L102" s="17" t="s">
        <v>199</v>
      </c>
    </row>
    <row r="103" spans="12:12" x14ac:dyDescent="0.25">
      <c r="L103" s="16" t="s">
        <v>199</v>
      </c>
    </row>
    <row r="104" spans="12:12" x14ac:dyDescent="0.25">
      <c r="L104" s="17" t="s">
        <v>199</v>
      </c>
    </row>
    <row r="105" spans="12:12" x14ac:dyDescent="0.25">
      <c r="L105" s="16" t="s">
        <v>199</v>
      </c>
    </row>
    <row r="106" spans="12:12" x14ac:dyDescent="0.25">
      <c r="L106" s="17" t="s">
        <v>199</v>
      </c>
    </row>
    <row r="107" spans="12:12" x14ac:dyDescent="0.25">
      <c r="L107" s="16" t="s">
        <v>199</v>
      </c>
    </row>
    <row r="108" spans="12:12" x14ac:dyDescent="0.25">
      <c r="L108" s="17" t="s">
        <v>199</v>
      </c>
    </row>
    <row r="109" spans="12:12" x14ac:dyDescent="0.25">
      <c r="L109" s="16" t="s">
        <v>199</v>
      </c>
    </row>
    <row r="110" spans="12:12" x14ac:dyDescent="0.25">
      <c r="L110" s="17" t="s">
        <v>199</v>
      </c>
    </row>
    <row r="111" spans="12:12" x14ac:dyDescent="0.25">
      <c r="L111" s="16" t="s">
        <v>199</v>
      </c>
    </row>
    <row r="112" spans="12:12" x14ac:dyDescent="0.25">
      <c r="L112" s="17" t="s">
        <v>199</v>
      </c>
    </row>
    <row r="113" spans="12:12" x14ac:dyDescent="0.25">
      <c r="L113" s="16" t="s">
        <v>199</v>
      </c>
    </row>
    <row r="114" spans="12:12" x14ac:dyDescent="0.25">
      <c r="L114" s="17" t="s">
        <v>199</v>
      </c>
    </row>
    <row r="115" spans="12:12" x14ac:dyDescent="0.25">
      <c r="L115" s="16" t="s">
        <v>199</v>
      </c>
    </row>
    <row r="116" spans="12:12" x14ac:dyDescent="0.25">
      <c r="L116" s="17" t="s">
        <v>199</v>
      </c>
    </row>
    <row r="117" spans="12:12" x14ac:dyDescent="0.25">
      <c r="L117" s="16" t="s">
        <v>199</v>
      </c>
    </row>
    <row r="118" spans="12:12" x14ac:dyDescent="0.25">
      <c r="L118" s="17" t="s">
        <v>199</v>
      </c>
    </row>
    <row r="119" spans="12:12" x14ac:dyDescent="0.25">
      <c r="L119" s="16" t="s">
        <v>199</v>
      </c>
    </row>
    <row r="120" spans="12:12" x14ac:dyDescent="0.25">
      <c r="L120" s="17" t="s">
        <v>199</v>
      </c>
    </row>
    <row r="121" spans="12:12" x14ac:dyDescent="0.25">
      <c r="L121" s="16" t="s">
        <v>199</v>
      </c>
    </row>
    <row r="122" spans="12:12" x14ac:dyDescent="0.25">
      <c r="L122" s="17" t="s">
        <v>199</v>
      </c>
    </row>
    <row r="123" spans="12:12" x14ac:dyDescent="0.25">
      <c r="L123" s="16" t="s">
        <v>199</v>
      </c>
    </row>
    <row r="124" spans="12:12" x14ac:dyDescent="0.25">
      <c r="L124" s="17" t="s">
        <v>199</v>
      </c>
    </row>
    <row r="125" spans="12:12" x14ac:dyDescent="0.25">
      <c r="L125" s="16" t="s">
        <v>199</v>
      </c>
    </row>
    <row r="126" spans="12:12" x14ac:dyDescent="0.25">
      <c r="L126" s="17" t="s">
        <v>199</v>
      </c>
    </row>
    <row r="127" spans="12:12" x14ac:dyDescent="0.25">
      <c r="L127" s="16" t="s">
        <v>199</v>
      </c>
    </row>
    <row r="128" spans="12:12" x14ac:dyDescent="0.25">
      <c r="L128" s="17" t="s">
        <v>199</v>
      </c>
    </row>
    <row r="129" spans="12:12" x14ac:dyDescent="0.25">
      <c r="L129" s="16" t="s">
        <v>199</v>
      </c>
    </row>
    <row r="130" spans="12:12" x14ac:dyDescent="0.25">
      <c r="L130" s="17" t="s">
        <v>199</v>
      </c>
    </row>
    <row r="131" spans="12:12" x14ac:dyDescent="0.25">
      <c r="L131" s="16" t="s">
        <v>199</v>
      </c>
    </row>
    <row r="132" spans="12:12" x14ac:dyDescent="0.25">
      <c r="L132" s="17" t="s">
        <v>199</v>
      </c>
    </row>
    <row r="133" spans="12:12" x14ac:dyDescent="0.25">
      <c r="L133" s="16" t="s">
        <v>199</v>
      </c>
    </row>
    <row r="134" spans="12:12" x14ac:dyDescent="0.25">
      <c r="L134" s="17" t="s">
        <v>199</v>
      </c>
    </row>
    <row r="135" spans="12:12" x14ac:dyDescent="0.25">
      <c r="L135" s="16" t="s">
        <v>199</v>
      </c>
    </row>
    <row r="136" spans="12:12" x14ac:dyDescent="0.25">
      <c r="L136" s="17" t="s">
        <v>199</v>
      </c>
    </row>
    <row r="137" spans="12:12" x14ac:dyDescent="0.25">
      <c r="L137" s="16" t="s">
        <v>199</v>
      </c>
    </row>
    <row r="138" spans="12:12" x14ac:dyDescent="0.25">
      <c r="L138" s="17" t="s">
        <v>199</v>
      </c>
    </row>
    <row r="139" spans="12:12" x14ac:dyDescent="0.25">
      <c r="L139" s="16" t="s">
        <v>199</v>
      </c>
    </row>
    <row r="140" spans="12:12" x14ac:dyDescent="0.25">
      <c r="L140" s="17" t="s">
        <v>199</v>
      </c>
    </row>
    <row r="141" spans="12:12" x14ac:dyDescent="0.25">
      <c r="L141" s="16" t="s">
        <v>199</v>
      </c>
    </row>
    <row r="142" spans="12:12" x14ac:dyDescent="0.25">
      <c r="L142" s="17" t="s">
        <v>199</v>
      </c>
    </row>
    <row r="143" spans="12:12" x14ac:dyDescent="0.25">
      <c r="L143" s="16" t="s">
        <v>199</v>
      </c>
    </row>
    <row r="144" spans="12:12" x14ac:dyDescent="0.25">
      <c r="L144" s="17" t="s">
        <v>199</v>
      </c>
    </row>
    <row r="145" spans="12:12" x14ac:dyDescent="0.25">
      <c r="L145" s="16" t="s">
        <v>199</v>
      </c>
    </row>
    <row r="146" spans="12:12" x14ac:dyDescent="0.25">
      <c r="L146" s="17" t="s">
        <v>199</v>
      </c>
    </row>
    <row r="147" spans="12:12" x14ac:dyDescent="0.25">
      <c r="L147" s="16" t="s">
        <v>199</v>
      </c>
    </row>
    <row r="148" spans="12:12" x14ac:dyDescent="0.25">
      <c r="L148" s="17" t="s">
        <v>199</v>
      </c>
    </row>
    <row r="149" spans="12:12" x14ac:dyDescent="0.25">
      <c r="L149" s="16" t="s">
        <v>199</v>
      </c>
    </row>
    <row r="150" spans="12:12" x14ac:dyDescent="0.25">
      <c r="L150" s="17" t="s">
        <v>199</v>
      </c>
    </row>
    <row r="151" spans="12:12" x14ac:dyDescent="0.25">
      <c r="L151" s="16" t="s">
        <v>199</v>
      </c>
    </row>
    <row r="152" spans="12:12" x14ac:dyDescent="0.25">
      <c r="L152" s="17" t="s">
        <v>199</v>
      </c>
    </row>
    <row r="153" spans="12:12" x14ac:dyDescent="0.25">
      <c r="L153" s="16" t="s">
        <v>199</v>
      </c>
    </row>
    <row r="154" spans="12:12" x14ac:dyDescent="0.25">
      <c r="L154" s="17" t="s">
        <v>199</v>
      </c>
    </row>
    <row r="155" spans="12:12" x14ac:dyDescent="0.25">
      <c r="L155" s="16" t="s">
        <v>199</v>
      </c>
    </row>
    <row r="156" spans="12:12" x14ac:dyDescent="0.25">
      <c r="L156" s="17" t="s">
        <v>199</v>
      </c>
    </row>
    <row r="157" spans="12:12" x14ac:dyDescent="0.25">
      <c r="L157" s="16" t="s">
        <v>199</v>
      </c>
    </row>
    <row r="158" spans="12:12" x14ac:dyDescent="0.25">
      <c r="L158" s="17" t="s">
        <v>199</v>
      </c>
    </row>
    <row r="159" spans="12:12" x14ac:dyDescent="0.25">
      <c r="L159" s="16" t="s">
        <v>199</v>
      </c>
    </row>
    <row r="160" spans="12:12" x14ac:dyDescent="0.25">
      <c r="L160" s="17" t="s">
        <v>199</v>
      </c>
    </row>
    <row r="161" spans="12:12" x14ac:dyDescent="0.25">
      <c r="L161" s="16" t="s">
        <v>199</v>
      </c>
    </row>
    <row r="162" spans="12:12" x14ac:dyDescent="0.25">
      <c r="L162" s="17" t="s">
        <v>199</v>
      </c>
    </row>
    <row r="163" spans="12:12" x14ac:dyDescent="0.25">
      <c r="L163" s="16" t="s">
        <v>199</v>
      </c>
    </row>
    <row r="164" spans="12:12" x14ac:dyDescent="0.25">
      <c r="L164" s="17" t="s">
        <v>199</v>
      </c>
    </row>
    <row r="165" spans="12:12" x14ac:dyDescent="0.25">
      <c r="L165" s="16" t="s">
        <v>199</v>
      </c>
    </row>
    <row r="166" spans="12:12" x14ac:dyDescent="0.25">
      <c r="L166" s="17" t="s">
        <v>199</v>
      </c>
    </row>
    <row r="167" spans="12:12" x14ac:dyDescent="0.25">
      <c r="L167" s="16" t="s">
        <v>199</v>
      </c>
    </row>
    <row r="168" spans="12:12" x14ac:dyDescent="0.25">
      <c r="L168" s="17" t="s">
        <v>199</v>
      </c>
    </row>
    <row r="169" spans="12:12" x14ac:dyDescent="0.25">
      <c r="L169" s="16" t="s">
        <v>199</v>
      </c>
    </row>
    <row r="170" spans="12:12" x14ac:dyDescent="0.25">
      <c r="L170" s="17" t="s">
        <v>199</v>
      </c>
    </row>
    <row r="171" spans="12:12" x14ac:dyDescent="0.25">
      <c r="L171" s="16" t="s">
        <v>199</v>
      </c>
    </row>
    <row r="172" spans="12:12" x14ac:dyDescent="0.25">
      <c r="L172" s="17" t="s">
        <v>199</v>
      </c>
    </row>
    <row r="173" spans="12:12" x14ac:dyDescent="0.25">
      <c r="L173" s="16" t="s">
        <v>215</v>
      </c>
    </row>
    <row r="174" spans="12:12" x14ac:dyDescent="0.25">
      <c r="L174" s="17" t="s">
        <v>215</v>
      </c>
    </row>
    <row r="175" spans="12:12" x14ac:dyDescent="0.25">
      <c r="L175" s="16" t="s">
        <v>215</v>
      </c>
    </row>
    <row r="176" spans="12:12" x14ac:dyDescent="0.25">
      <c r="L176" s="17" t="s">
        <v>215</v>
      </c>
    </row>
    <row r="177" spans="12:12" x14ac:dyDescent="0.25">
      <c r="L177" s="16" t="s">
        <v>215</v>
      </c>
    </row>
    <row r="178" spans="12:12" x14ac:dyDescent="0.25">
      <c r="L178" s="17" t="s">
        <v>215</v>
      </c>
    </row>
    <row r="179" spans="12:12" x14ac:dyDescent="0.25">
      <c r="L179" s="16" t="s">
        <v>215</v>
      </c>
    </row>
    <row r="180" spans="12:12" x14ac:dyDescent="0.25">
      <c r="L180" s="17" t="s">
        <v>215</v>
      </c>
    </row>
    <row r="181" spans="12:12" x14ac:dyDescent="0.25">
      <c r="L181" s="16" t="s">
        <v>215</v>
      </c>
    </row>
    <row r="182" spans="12:12" x14ac:dyDescent="0.25">
      <c r="L182" s="17" t="s">
        <v>215</v>
      </c>
    </row>
    <row r="183" spans="12:12" x14ac:dyDescent="0.25">
      <c r="L183" s="16" t="s">
        <v>215</v>
      </c>
    </row>
    <row r="184" spans="12:12" x14ac:dyDescent="0.25">
      <c r="L184" s="17" t="s">
        <v>215</v>
      </c>
    </row>
    <row r="185" spans="12:12" x14ac:dyDescent="0.25">
      <c r="L185" s="16" t="s">
        <v>215</v>
      </c>
    </row>
    <row r="186" spans="12:12" x14ac:dyDescent="0.25">
      <c r="L186" s="17" t="s">
        <v>215</v>
      </c>
    </row>
    <row r="187" spans="12:12" x14ac:dyDescent="0.25">
      <c r="L187" s="16" t="s">
        <v>215</v>
      </c>
    </row>
    <row r="188" spans="12:12" x14ac:dyDescent="0.25">
      <c r="L188" s="17" t="s">
        <v>215</v>
      </c>
    </row>
    <row r="189" spans="12:12" x14ac:dyDescent="0.25">
      <c r="L189" s="16" t="s">
        <v>215</v>
      </c>
    </row>
    <row r="190" spans="12:12" x14ac:dyDescent="0.25">
      <c r="L190" s="17" t="s">
        <v>215</v>
      </c>
    </row>
    <row r="191" spans="12:12" x14ac:dyDescent="0.25">
      <c r="L191" s="16" t="s">
        <v>215</v>
      </c>
    </row>
    <row r="192" spans="12:12" x14ac:dyDescent="0.25">
      <c r="L192" s="17" t="s">
        <v>215</v>
      </c>
    </row>
    <row r="193" spans="12:12" x14ac:dyDescent="0.25">
      <c r="L193" s="16" t="s">
        <v>215</v>
      </c>
    </row>
    <row r="194" spans="12:12" x14ac:dyDescent="0.25">
      <c r="L194" s="17" t="s">
        <v>215</v>
      </c>
    </row>
    <row r="195" spans="12:12" x14ac:dyDescent="0.25">
      <c r="L195" s="16" t="s">
        <v>215</v>
      </c>
    </row>
    <row r="196" spans="12:12" x14ac:dyDescent="0.25">
      <c r="L196" s="17" t="s">
        <v>215</v>
      </c>
    </row>
    <row r="197" spans="12:12" x14ac:dyDescent="0.25">
      <c r="L197" s="16" t="s">
        <v>215</v>
      </c>
    </row>
    <row r="198" spans="12:12" x14ac:dyDescent="0.25">
      <c r="L198" s="17" t="s">
        <v>215</v>
      </c>
    </row>
    <row r="199" spans="12:12" x14ac:dyDescent="0.25">
      <c r="L199" s="16" t="s">
        <v>215</v>
      </c>
    </row>
    <row r="200" spans="12:12" x14ac:dyDescent="0.25">
      <c r="L200" s="17" t="s">
        <v>215</v>
      </c>
    </row>
    <row r="201" spans="12:12" x14ac:dyDescent="0.25">
      <c r="L201" s="16" t="s">
        <v>215</v>
      </c>
    </row>
    <row r="202" spans="12:12" x14ac:dyDescent="0.25">
      <c r="L202" s="17" t="s">
        <v>215</v>
      </c>
    </row>
    <row r="203" spans="12:12" x14ac:dyDescent="0.25">
      <c r="L203" s="16" t="s">
        <v>215</v>
      </c>
    </row>
    <row r="204" spans="12:12" x14ac:dyDescent="0.25">
      <c r="L204" s="17" t="s">
        <v>215</v>
      </c>
    </row>
    <row r="205" spans="12:12" x14ac:dyDescent="0.25">
      <c r="L205" s="16" t="s">
        <v>215</v>
      </c>
    </row>
    <row r="206" spans="12:12" x14ac:dyDescent="0.25">
      <c r="L206" s="17" t="s">
        <v>215</v>
      </c>
    </row>
    <row r="207" spans="12:12" x14ac:dyDescent="0.25">
      <c r="L207" s="16" t="s">
        <v>215</v>
      </c>
    </row>
    <row r="208" spans="12:12" x14ac:dyDescent="0.25">
      <c r="L208" s="17" t="s">
        <v>215</v>
      </c>
    </row>
    <row r="209" spans="12:12" x14ac:dyDescent="0.25">
      <c r="L209" s="16" t="s">
        <v>215</v>
      </c>
    </row>
    <row r="210" spans="12:12" x14ac:dyDescent="0.25">
      <c r="L210" s="17" t="s">
        <v>215</v>
      </c>
    </row>
    <row r="211" spans="12:12" x14ac:dyDescent="0.25">
      <c r="L211" s="16" t="s">
        <v>215</v>
      </c>
    </row>
    <row r="212" spans="12:12" x14ac:dyDescent="0.25">
      <c r="L212" s="17" t="s">
        <v>215</v>
      </c>
    </row>
    <row r="213" spans="12:12" x14ac:dyDescent="0.25">
      <c r="L213" s="16" t="s">
        <v>215</v>
      </c>
    </row>
    <row r="214" spans="12:12" x14ac:dyDescent="0.25">
      <c r="L214" s="17" t="s">
        <v>215</v>
      </c>
    </row>
    <row r="215" spans="12:12" x14ac:dyDescent="0.25">
      <c r="L215" s="16" t="s">
        <v>215</v>
      </c>
    </row>
    <row r="216" spans="12:12" x14ac:dyDescent="0.25">
      <c r="L216" s="17" t="s">
        <v>215</v>
      </c>
    </row>
    <row r="217" spans="12:12" x14ac:dyDescent="0.25">
      <c r="L217" s="16" t="s">
        <v>215</v>
      </c>
    </row>
    <row r="218" spans="12:12" x14ac:dyDescent="0.25">
      <c r="L218" s="17" t="s">
        <v>215</v>
      </c>
    </row>
    <row r="219" spans="12:12" x14ac:dyDescent="0.25">
      <c r="L219" s="16" t="s">
        <v>215</v>
      </c>
    </row>
    <row r="220" spans="12:12" x14ac:dyDescent="0.25">
      <c r="L220" s="17" t="s">
        <v>215</v>
      </c>
    </row>
    <row r="221" spans="12:12" x14ac:dyDescent="0.25">
      <c r="L221" s="16" t="s">
        <v>215</v>
      </c>
    </row>
    <row r="222" spans="12:12" x14ac:dyDescent="0.25">
      <c r="L222" s="17" t="s">
        <v>215</v>
      </c>
    </row>
    <row r="223" spans="12:12" x14ac:dyDescent="0.25">
      <c r="L223" s="16" t="s">
        <v>243</v>
      </c>
    </row>
    <row r="224" spans="12:12" x14ac:dyDescent="0.25">
      <c r="L224" s="17" t="s">
        <v>243</v>
      </c>
    </row>
    <row r="225" spans="12:12" x14ac:dyDescent="0.25">
      <c r="L225" s="16" t="s">
        <v>243</v>
      </c>
    </row>
    <row r="226" spans="12:12" x14ac:dyDescent="0.25">
      <c r="L226" s="17" t="s">
        <v>243</v>
      </c>
    </row>
    <row r="227" spans="12:12" x14ac:dyDescent="0.25">
      <c r="L227" s="16" t="s">
        <v>243</v>
      </c>
    </row>
    <row r="228" spans="12:12" x14ac:dyDescent="0.25">
      <c r="L228" s="17" t="s">
        <v>243</v>
      </c>
    </row>
    <row r="229" spans="12:12" x14ac:dyDescent="0.25">
      <c r="L229" s="16" t="s">
        <v>243</v>
      </c>
    </row>
    <row r="230" spans="12:12" x14ac:dyDescent="0.25">
      <c r="L230" s="17" t="s">
        <v>243</v>
      </c>
    </row>
    <row r="231" spans="12:12" x14ac:dyDescent="0.25">
      <c r="L231" s="16" t="s">
        <v>243</v>
      </c>
    </row>
    <row r="232" spans="12:12" x14ac:dyDescent="0.25">
      <c r="L232" s="17" t="s">
        <v>243</v>
      </c>
    </row>
    <row r="233" spans="12:12" x14ac:dyDescent="0.25">
      <c r="L233" s="16" t="s">
        <v>243</v>
      </c>
    </row>
    <row r="234" spans="12:12" x14ac:dyDescent="0.25">
      <c r="L234" s="17" t="s">
        <v>243</v>
      </c>
    </row>
    <row r="235" spans="12:12" x14ac:dyDescent="0.25">
      <c r="L235" s="16" t="s">
        <v>243</v>
      </c>
    </row>
    <row r="236" spans="12:12" x14ac:dyDescent="0.25">
      <c r="L236" s="17" t="s">
        <v>243</v>
      </c>
    </row>
    <row r="237" spans="12:12" x14ac:dyDescent="0.25">
      <c r="L237" s="16" t="s">
        <v>243</v>
      </c>
    </row>
    <row r="238" spans="12:12" x14ac:dyDescent="0.25">
      <c r="L238" s="17" t="s">
        <v>243</v>
      </c>
    </row>
    <row r="239" spans="12:12" x14ac:dyDescent="0.25">
      <c r="L239" s="16" t="s">
        <v>243</v>
      </c>
    </row>
    <row r="240" spans="12:12" x14ac:dyDescent="0.25">
      <c r="L240" s="17" t="s">
        <v>243</v>
      </c>
    </row>
    <row r="241" spans="12:12" x14ac:dyDescent="0.25">
      <c r="L241" s="16" t="s">
        <v>243</v>
      </c>
    </row>
    <row r="242" spans="12:12" x14ac:dyDescent="0.25">
      <c r="L242" s="17" t="s">
        <v>243</v>
      </c>
    </row>
    <row r="243" spans="12:12" x14ac:dyDescent="0.25">
      <c r="L243" s="16" t="s">
        <v>243</v>
      </c>
    </row>
    <row r="244" spans="12:12" x14ac:dyDescent="0.25">
      <c r="L244" s="17" t="s">
        <v>243</v>
      </c>
    </row>
    <row r="245" spans="12:12" x14ac:dyDescent="0.25">
      <c r="L245" s="16" t="s">
        <v>243</v>
      </c>
    </row>
    <row r="246" spans="12:12" x14ac:dyDescent="0.25">
      <c r="L246" s="17" t="s">
        <v>243</v>
      </c>
    </row>
    <row r="247" spans="12:12" x14ac:dyDescent="0.25">
      <c r="L247" s="16" t="s">
        <v>243</v>
      </c>
    </row>
    <row r="248" spans="12:12" x14ac:dyDescent="0.25">
      <c r="L248" s="17" t="s">
        <v>243</v>
      </c>
    </row>
    <row r="249" spans="12:12" x14ac:dyDescent="0.25">
      <c r="L249" s="16" t="s">
        <v>243</v>
      </c>
    </row>
    <row r="250" spans="12:12" x14ac:dyDescent="0.25">
      <c r="L250" s="17" t="s">
        <v>243</v>
      </c>
    </row>
    <row r="251" spans="12:12" x14ac:dyDescent="0.25">
      <c r="L251" s="16" t="s">
        <v>243</v>
      </c>
    </row>
    <row r="252" spans="12:12" x14ac:dyDescent="0.25">
      <c r="L252" s="17" t="s">
        <v>243</v>
      </c>
    </row>
    <row r="253" spans="12:12" x14ac:dyDescent="0.25">
      <c r="L253" s="16" t="s">
        <v>243</v>
      </c>
    </row>
    <row r="254" spans="12:12" x14ac:dyDescent="0.25">
      <c r="L254" s="17" t="s">
        <v>243</v>
      </c>
    </row>
    <row r="255" spans="12:12" x14ac:dyDescent="0.25">
      <c r="L255" s="16" t="s">
        <v>243</v>
      </c>
    </row>
    <row r="256" spans="12:12" x14ac:dyDescent="0.25">
      <c r="L256" s="17" t="s">
        <v>243</v>
      </c>
    </row>
    <row r="257" spans="12:12" x14ac:dyDescent="0.25">
      <c r="L257" s="16" t="s">
        <v>243</v>
      </c>
    </row>
    <row r="258" spans="12:12" x14ac:dyDescent="0.25">
      <c r="L258" s="17" t="s">
        <v>243</v>
      </c>
    </row>
    <row r="259" spans="12:12" x14ac:dyDescent="0.25">
      <c r="L259" s="16" t="s">
        <v>243</v>
      </c>
    </row>
    <row r="260" spans="12:12" x14ac:dyDescent="0.25">
      <c r="L260" s="17" t="s">
        <v>243</v>
      </c>
    </row>
    <row r="261" spans="12:12" x14ac:dyDescent="0.25">
      <c r="L261" s="16" t="s">
        <v>243</v>
      </c>
    </row>
    <row r="262" spans="12:12" x14ac:dyDescent="0.25">
      <c r="L262" s="17" t="s">
        <v>243</v>
      </c>
    </row>
    <row r="263" spans="12:12" x14ac:dyDescent="0.25">
      <c r="L263" s="16" t="s">
        <v>243</v>
      </c>
    </row>
    <row r="264" spans="12:12" x14ac:dyDescent="0.25">
      <c r="L264" s="17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07FC-8006-482B-8DD6-9B93306C8383}">
  <dimension ref="B1:N5"/>
  <sheetViews>
    <sheetView workbookViewId="0">
      <selection activeCell="F17" sqref="F17"/>
    </sheetView>
  </sheetViews>
  <sheetFormatPr defaultRowHeight="15" x14ac:dyDescent="0.25"/>
  <cols>
    <col min="2" max="2" width="30" bestFit="1" customWidth="1"/>
  </cols>
  <sheetData>
    <row r="1" spans="2:14" x14ac:dyDescent="0.25">
      <c r="B1" t="s">
        <v>948</v>
      </c>
    </row>
    <row r="5" spans="2:14" x14ac:dyDescent="0.25">
      <c r="B5" s="20" t="str">
        <f>Staff[#Headers]</f>
        <v>First name</v>
      </c>
      <c r="C5" s="20" t="str">
        <f>Staff[#Headers]</f>
        <v>Last name</v>
      </c>
      <c r="D5" s="20" t="str">
        <f>Staff[#Headers]</f>
        <v>Gender</v>
      </c>
      <c r="E5" s="20" t="str">
        <f>Staff[#Headers]</f>
        <v>Department</v>
      </c>
      <c r="F5" s="20" t="str">
        <f>Staff[#Headers]</f>
        <v>Salary</v>
      </c>
      <c r="G5" s="20" t="str">
        <f>Staff[#Headers]</f>
        <v>salary bucket</v>
      </c>
      <c r="H5" s="20" t="str">
        <f>Staff[#Headers]</f>
        <v>Start Date</v>
      </c>
      <c r="I5" s="20" t="str">
        <f>Staff[#Headers]</f>
        <v>FTE</v>
      </c>
      <c r="J5" s="20" t="str">
        <f>Staff[#Headers]</f>
        <v>Employee type</v>
      </c>
      <c r="K5" s="20" t="str">
        <f>Staff[#Headers]</f>
        <v>Work location</v>
      </c>
      <c r="L5" s="20" t="str">
        <f>Staff[#Headers]</f>
        <v>Age</v>
      </c>
      <c r="M5" s="20" t="str">
        <f>Staff[#Headers]</f>
        <v>Employes work type</v>
      </c>
      <c r="N5" s="20" t="str">
        <f>Staff[#Headers]</f>
        <v>Years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EE1E-40F8-4E48-B20B-986C6035DD48}">
  <dimension ref="B2:F17"/>
  <sheetViews>
    <sheetView workbookViewId="0">
      <selection activeCell="D6" sqref="D6"/>
    </sheetView>
  </sheetViews>
  <sheetFormatPr defaultRowHeight="15" x14ac:dyDescent="0.25"/>
  <cols>
    <col min="2" max="2" width="13.5703125" bestFit="1" customWidth="1"/>
    <col min="3" max="3" width="10.85546875" customWidth="1"/>
    <col min="5" max="5" width="9.7109375" customWidth="1"/>
    <col min="6" max="6" width="11.5703125" hidden="1" customWidth="1"/>
  </cols>
  <sheetData>
    <row r="2" spans="2:6" x14ac:dyDescent="0.25">
      <c r="B2" s="23" t="s">
        <v>949</v>
      </c>
      <c r="C2" s="23"/>
      <c r="D2" s="23"/>
      <c r="E2" s="23"/>
    </row>
    <row r="4" spans="2:6" x14ac:dyDescent="0.25">
      <c r="C4" s="6" t="s">
        <v>950</v>
      </c>
      <c r="D4" s="6" t="s">
        <v>196</v>
      </c>
      <c r="E4" s="6" t="s">
        <v>204</v>
      </c>
    </row>
    <row r="5" spans="2:6" x14ac:dyDescent="0.25">
      <c r="B5" t="s">
        <v>955</v>
      </c>
      <c r="C5">
        <f>MIN(staff4[Salary])</f>
        <v>41934.71</v>
      </c>
      <c r="D5">
        <f>_xlfn.MINIFS(staff4[Salary],staff4[Gender],Table4[[#Headers],[Male]])</f>
        <v>50310.09</v>
      </c>
      <c r="E5">
        <f>_xlfn.MINIFS(staff4[Salary],staff4[Gender],Table4[[#Headers],[Female]])</f>
        <v>41934.71</v>
      </c>
    </row>
    <row r="6" spans="2:6" x14ac:dyDescent="0.25">
      <c r="B6" t="s">
        <v>951</v>
      </c>
      <c r="C6">
        <f>MAX(staff4[Salary])</f>
        <v>120000</v>
      </c>
      <c r="D6">
        <f>_xlfn.MAXIFS(staff4[Salary],staff4[Gender],Table4[[#Headers],[Male]])</f>
        <v>120000</v>
      </c>
      <c r="E6">
        <f>_xlfn.MAXIFS(staff4[Salary],staff4[Gender],Table4[[#Headers],[Female]])</f>
        <v>114177.23</v>
      </c>
    </row>
    <row r="7" spans="2:6" x14ac:dyDescent="0.25">
      <c r="B7" t="s">
        <v>953</v>
      </c>
      <c r="C7">
        <f>LARGE(staff4[Salary],F7)</f>
        <v>120000</v>
      </c>
      <c r="F7">
        <v>1</v>
      </c>
    </row>
    <row r="8" spans="2:6" x14ac:dyDescent="0.25">
      <c r="B8" t="s">
        <v>952</v>
      </c>
      <c r="C8">
        <f>LARGE(staff4[Salary],F8)</f>
        <v>114177.23</v>
      </c>
      <c r="F8">
        <v>2</v>
      </c>
    </row>
    <row r="9" spans="2:6" x14ac:dyDescent="0.25">
      <c r="C9">
        <f>LARGE(staff4[Salary],F9)</f>
        <v>96135.75</v>
      </c>
      <c r="F9">
        <v>3</v>
      </c>
    </row>
    <row r="10" spans="2:6" x14ac:dyDescent="0.25">
      <c r="C10">
        <f>LARGE(staff4[Salary],F10)</f>
        <v>84742.86</v>
      </c>
      <c r="F10">
        <v>4</v>
      </c>
    </row>
    <row r="11" spans="2:6" x14ac:dyDescent="0.25">
      <c r="C11">
        <f>LARGE(staff4[Salary],F11)</f>
        <v>84309.95</v>
      </c>
      <c r="F11">
        <v>5</v>
      </c>
    </row>
    <row r="17" spans="4:4" x14ac:dyDescent="0.25">
      <c r="D17" t="s">
        <v>954</v>
      </c>
    </row>
  </sheetData>
  <mergeCells count="1">
    <mergeCell ref="B2:E2"/>
  </mergeCells>
  <pageMargins left="0.7" right="0.7" top="0.75" bottom="0.75" header="0.3" footer="0.3"/>
  <ignoredErrors>
    <ignoredError sqref="C5:E5" calculatedColumn="1"/>
  </ignoredErrors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F194-8F71-4001-A1B9-2E8B33C81CA0}">
  <dimension ref="B1:E16"/>
  <sheetViews>
    <sheetView zoomScale="115" zoomScaleNormal="115" workbookViewId="0">
      <selection activeCell="D8" sqref="D8"/>
    </sheetView>
  </sheetViews>
  <sheetFormatPr defaultRowHeight="15" x14ac:dyDescent="0.25"/>
  <cols>
    <col min="2" max="2" width="25.85546875" bestFit="1" customWidth="1"/>
  </cols>
  <sheetData>
    <row r="1" spans="2:5" ht="15.75" x14ac:dyDescent="0.25">
      <c r="B1" s="24" t="s">
        <v>956</v>
      </c>
      <c r="C1" s="24"/>
      <c r="D1" s="24"/>
      <c r="E1" s="24"/>
    </row>
    <row r="4" spans="2:5" ht="15.75" x14ac:dyDescent="0.25">
      <c r="B4" s="21" t="s">
        <v>957</v>
      </c>
      <c r="C4" t="s">
        <v>958</v>
      </c>
    </row>
    <row r="5" spans="2:5" x14ac:dyDescent="0.25">
      <c r="B5" t="s">
        <v>261</v>
      </c>
    </row>
    <row r="6" spans="2:5" x14ac:dyDescent="0.25">
      <c r="B6" t="s">
        <v>205</v>
      </c>
    </row>
    <row r="7" spans="2:5" x14ac:dyDescent="0.25">
      <c r="B7" t="s">
        <v>197</v>
      </c>
    </row>
    <row r="8" spans="2:5" x14ac:dyDescent="0.25">
      <c r="B8" t="s">
        <v>258</v>
      </c>
      <c r="D8" t="str">
        <f>_xlfn.TEXTJOIN(",",TRUE,B5:B16)</f>
        <v>Accounting,Business Development,Engineering,Human Resources,Legal,Marketing,Product Management,Research and Development,Sales,Services,Support,Training</v>
      </c>
    </row>
    <row r="9" spans="2:5" x14ac:dyDescent="0.25">
      <c r="B9" t="s">
        <v>282</v>
      </c>
    </row>
    <row r="10" spans="2:5" x14ac:dyDescent="0.25">
      <c r="B10" t="s">
        <v>228</v>
      </c>
    </row>
    <row r="11" spans="2:5" x14ac:dyDescent="0.25">
      <c r="B11" t="s">
        <v>277</v>
      </c>
    </row>
    <row r="12" spans="2:5" x14ac:dyDescent="0.25">
      <c r="B12" t="s">
        <v>924</v>
      </c>
    </row>
    <row r="13" spans="2:5" x14ac:dyDescent="0.25">
      <c r="B13" t="s">
        <v>264</v>
      </c>
    </row>
    <row r="14" spans="2:5" x14ac:dyDescent="0.25">
      <c r="B14" t="s">
        <v>211</v>
      </c>
    </row>
    <row r="15" spans="2:5" x14ac:dyDescent="0.25">
      <c r="B15" t="s">
        <v>225</v>
      </c>
    </row>
    <row r="16" spans="2:5" x14ac:dyDescent="0.25">
      <c r="B16" t="s">
        <v>214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EDF6-7473-4BCB-9179-D7880F963F5F}">
  <dimension ref="A1:O19"/>
  <sheetViews>
    <sheetView topLeftCell="A4" workbookViewId="0">
      <selection activeCell="G22" sqref="G22"/>
    </sheetView>
  </sheetViews>
  <sheetFormatPr defaultRowHeight="15" x14ac:dyDescent="0.2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8" customFormat="1" ht="52.5" customHeight="1" x14ac:dyDescent="0.25">
      <c r="A1" s="7"/>
      <c r="C1" s="9" t="s">
        <v>925</v>
      </c>
    </row>
    <row r="7" spans="1:15" x14ac:dyDescent="0.25">
      <c r="C7" t="s">
        <v>181</v>
      </c>
      <c r="D7" t="s">
        <v>926</v>
      </c>
      <c r="E7" t="s">
        <v>927</v>
      </c>
      <c r="F7" t="s">
        <v>184</v>
      </c>
      <c r="G7" t="s">
        <v>185</v>
      </c>
      <c r="H7" s="10" t="s">
        <v>186</v>
      </c>
      <c r="I7" t="s">
        <v>928</v>
      </c>
      <c r="J7" t="s">
        <v>188</v>
      </c>
      <c r="K7" s="10" t="s">
        <v>189</v>
      </c>
      <c r="L7" t="s">
        <v>190</v>
      </c>
      <c r="M7" t="s">
        <v>191</v>
      </c>
      <c r="N7" s="11" t="s">
        <v>929</v>
      </c>
      <c r="O7" t="s">
        <v>930</v>
      </c>
    </row>
    <row r="8" spans="1:15" x14ac:dyDescent="0.25">
      <c r="C8" t="s">
        <v>613</v>
      </c>
      <c r="D8" t="s">
        <v>931</v>
      </c>
      <c r="E8" t="s">
        <v>614</v>
      </c>
      <c r="F8" t="s">
        <v>204</v>
      </c>
      <c r="G8" t="s">
        <v>214</v>
      </c>
      <c r="H8" s="12">
        <v>96135.75</v>
      </c>
      <c r="I8" t="s">
        <v>206</v>
      </c>
      <c r="J8" s="13">
        <v>44025</v>
      </c>
      <c r="K8">
        <v>0.3</v>
      </c>
      <c r="L8" t="s">
        <v>199</v>
      </c>
      <c r="M8" t="s">
        <v>221</v>
      </c>
      <c r="N8" s="14">
        <v>3.9424657534246577</v>
      </c>
      <c r="O8" t="s">
        <v>932</v>
      </c>
    </row>
    <row r="9" spans="1:15" x14ac:dyDescent="0.25">
      <c r="C9" t="s">
        <v>401</v>
      </c>
      <c r="D9" t="s">
        <v>933</v>
      </c>
      <c r="E9" t="s">
        <v>402</v>
      </c>
      <c r="F9" t="s">
        <v>204</v>
      </c>
      <c r="G9" t="s">
        <v>205</v>
      </c>
      <c r="H9" s="12">
        <v>70649.460000000006</v>
      </c>
      <c r="I9" t="s">
        <v>206</v>
      </c>
      <c r="J9" s="13">
        <v>43843</v>
      </c>
      <c r="K9">
        <v>1</v>
      </c>
      <c r="L9" t="s">
        <v>199</v>
      </c>
      <c r="M9" t="s">
        <v>218</v>
      </c>
      <c r="N9" s="14">
        <v>4.441095890410959</v>
      </c>
      <c r="O9" t="s">
        <v>201</v>
      </c>
    </row>
    <row r="10" spans="1:15" x14ac:dyDescent="0.25">
      <c r="C10" t="s">
        <v>194</v>
      </c>
      <c r="D10" t="s">
        <v>934</v>
      </c>
      <c r="E10" t="s">
        <v>195</v>
      </c>
      <c r="F10" t="s">
        <v>196</v>
      </c>
      <c r="G10" t="s">
        <v>197</v>
      </c>
      <c r="H10" s="12">
        <v>120000</v>
      </c>
      <c r="I10" t="s">
        <v>935</v>
      </c>
      <c r="J10" s="13">
        <v>43416</v>
      </c>
      <c r="K10">
        <v>1</v>
      </c>
      <c r="L10" t="s">
        <v>199</v>
      </c>
      <c r="M10" t="s">
        <v>200</v>
      </c>
      <c r="N10" s="14">
        <v>5.6109589041095891</v>
      </c>
      <c r="O10" t="s">
        <v>201</v>
      </c>
    </row>
    <row r="11" spans="1:15" x14ac:dyDescent="0.25">
      <c r="C11" t="s">
        <v>625</v>
      </c>
      <c r="D11" t="s">
        <v>936</v>
      </c>
      <c r="E11" t="s">
        <v>626</v>
      </c>
      <c r="F11" t="s">
        <v>204</v>
      </c>
      <c r="G11" t="s">
        <v>228</v>
      </c>
      <c r="H11" s="12">
        <v>67905.8</v>
      </c>
      <c r="I11" t="s">
        <v>206</v>
      </c>
      <c r="J11" s="13">
        <v>44194</v>
      </c>
      <c r="K11">
        <v>1</v>
      </c>
      <c r="L11" t="s">
        <v>199</v>
      </c>
      <c r="M11" t="s">
        <v>200</v>
      </c>
      <c r="N11" s="14">
        <v>3.4794520547945207</v>
      </c>
      <c r="O11" t="s">
        <v>201</v>
      </c>
    </row>
    <row r="12" spans="1:15" x14ac:dyDescent="0.25">
      <c r="C12" t="s">
        <v>345</v>
      </c>
      <c r="D12" t="s">
        <v>937</v>
      </c>
      <c r="E12" t="s">
        <v>346</v>
      </c>
      <c r="F12" t="s">
        <v>204</v>
      </c>
      <c r="G12" t="s">
        <v>282</v>
      </c>
      <c r="H12" s="12">
        <v>63705.4</v>
      </c>
      <c r="I12" t="s">
        <v>206</v>
      </c>
      <c r="J12" s="13">
        <v>43682</v>
      </c>
      <c r="K12">
        <v>1</v>
      </c>
      <c r="L12" t="s">
        <v>199</v>
      </c>
      <c r="M12" t="s">
        <v>218</v>
      </c>
      <c r="N12" s="14">
        <v>4.882191780821918</v>
      </c>
      <c r="O12" t="s">
        <v>201</v>
      </c>
    </row>
    <row r="13" spans="1:15" x14ac:dyDescent="0.25">
      <c r="C13" t="s">
        <v>530</v>
      </c>
      <c r="D13" t="s">
        <v>938</v>
      </c>
      <c r="E13" t="s">
        <v>531</v>
      </c>
      <c r="F13" t="s">
        <v>204</v>
      </c>
      <c r="G13" t="s">
        <v>261</v>
      </c>
      <c r="H13" s="12">
        <v>114177.23</v>
      </c>
      <c r="I13" t="s">
        <v>935</v>
      </c>
      <c r="J13" s="13">
        <v>43908</v>
      </c>
      <c r="K13">
        <v>1</v>
      </c>
      <c r="L13" t="s">
        <v>199</v>
      </c>
      <c r="M13" t="s">
        <v>221</v>
      </c>
      <c r="N13" s="14">
        <v>4.2630136986301368</v>
      </c>
      <c r="O13" t="s">
        <v>201</v>
      </c>
    </row>
    <row r="14" spans="1:15" x14ac:dyDescent="0.25">
      <c r="C14" t="s">
        <v>256</v>
      </c>
      <c r="D14" t="s">
        <v>940</v>
      </c>
      <c r="E14" t="s">
        <v>257</v>
      </c>
      <c r="F14" t="s">
        <v>196</v>
      </c>
      <c r="G14" t="s">
        <v>258</v>
      </c>
      <c r="H14" s="12">
        <v>50310.09</v>
      </c>
      <c r="I14" t="s">
        <v>206</v>
      </c>
      <c r="J14" s="13">
        <v>44285</v>
      </c>
      <c r="K14">
        <v>0.4</v>
      </c>
      <c r="L14" t="s">
        <v>199</v>
      </c>
      <c r="M14" t="s">
        <v>218</v>
      </c>
      <c r="N14" s="14">
        <v>3.2301369863013698</v>
      </c>
      <c r="O14" t="s">
        <v>932</v>
      </c>
    </row>
    <row r="15" spans="1:15" x14ac:dyDescent="0.25">
      <c r="C15" t="s">
        <v>389</v>
      </c>
      <c r="D15" t="s">
        <v>941</v>
      </c>
      <c r="E15" t="s">
        <v>390</v>
      </c>
      <c r="F15" t="s">
        <v>204</v>
      </c>
      <c r="G15" t="s">
        <v>924</v>
      </c>
      <c r="H15" s="12">
        <v>84309.95</v>
      </c>
      <c r="I15" t="s">
        <v>206</v>
      </c>
      <c r="J15" s="13">
        <v>44501</v>
      </c>
      <c r="K15">
        <v>1</v>
      </c>
      <c r="L15" t="s">
        <v>199</v>
      </c>
      <c r="M15" t="s">
        <v>200</v>
      </c>
      <c r="N15" s="14">
        <v>2.6383561643835618</v>
      </c>
      <c r="O15" t="s">
        <v>201</v>
      </c>
    </row>
    <row r="16" spans="1:15" x14ac:dyDescent="0.25">
      <c r="C16" t="s">
        <v>660</v>
      </c>
      <c r="D16" t="s">
        <v>942</v>
      </c>
      <c r="E16" t="s">
        <v>661</v>
      </c>
      <c r="F16" t="s">
        <v>196</v>
      </c>
      <c r="G16" t="s">
        <v>211</v>
      </c>
      <c r="H16" s="12">
        <v>84742.86</v>
      </c>
      <c r="I16" t="s">
        <v>206</v>
      </c>
      <c r="J16" s="13">
        <v>44098</v>
      </c>
      <c r="K16">
        <v>1</v>
      </c>
      <c r="L16" t="s">
        <v>199</v>
      </c>
      <c r="M16" t="s">
        <v>244</v>
      </c>
      <c r="N16" s="14">
        <v>3.7424657534246575</v>
      </c>
      <c r="O16" t="s">
        <v>201</v>
      </c>
    </row>
    <row r="17" spans="3:15" x14ac:dyDescent="0.25">
      <c r="C17" t="s">
        <v>601</v>
      </c>
      <c r="D17" t="s">
        <v>943</v>
      </c>
      <c r="E17" t="s">
        <v>602</v>
      </c>
      <c r="F17" t="s">
        <v>204</v>
      </c>
      <c r="G17" t="s">
        <v>277</v>
      </c>
      <c r="H17" s="12">
        <v>72502.61</v>
      </c>
      <c r="I17" t="s">
        <v>206</v>
      </c>
      <c r="J17" s="13">
        <v>44235</v>
      </c>
      <c r="K17">
        <v>1</v>
      </c>
      <c r="L17" t="s">
        <v>199</v>
      </c>
      <c r="M17" t="s">
        <v>221</v>
      </c>
      <c r="N17" s="14">
        <v>3.3671232876712329</v>
      </c>
      <c r="O17" t="s">
        <v>201</v>
      </c>
    </row>
    <row r="18" spans="3:15" x14ac:dyDescent="0.25">
      <c r="C18" t="s">
        <v>423</v>
      </c>
      <c r="D18" t="s">
        <v>944</v>
      </c>
      <c r="E18" t="s">
        <v>424</v>
      </c>
      <c r="F18" t="s">
        <v>204</v>
      </c>
      <c r="G18" t="s">
        <v>225</v>
      </c>
      <c r="H18" s="12">
        <v>75974.990000000005</v>
      </c>
      <c r="I18" t="s">
        <v>206</v>
      </c>
      <c r="J18" s="13">
        <v>44172</v>
      </c>
      <c r="K18">
        <v>1</v>
      </c>
      <c r="L18" t="s">
        <v>199</v>
      </c>
      <c r="M18" t="s">
        <v>200</v>
      </c>
      <c r="N18" s="14">
        <v>3.5397260273972604</v>
      </c>
      <c r="O18" t="s">
        <v>201</v>
      </c>
    </row>
    <row r="19" spans="3:15" x14ac:dyDescent="0.25">
      <c r="C19" t="s">
        <v>577</v>
      </c>
      <c r="D19" t="s">
        <v>945</v>
      </c>
      <c r="E19" t="s">
        <v>408</v>
      </c>
      <c r="F19" t="s">
        <v>204</v>
      </c>
      <c r="G19" t="s">
        <v>264</v>
      </c>
      <c r="H19" s="12">
        <v>41934.71</v>
      </c>
      <c r="I19" t="s">
        <v>939</v>
      </c>
      <c r="J19" s="13">
        <v>43780</v>
      </c>
      <c r="K19">
        <v>1</v>
      </c>
      <c r="L19" t="s">
        <v>199</v>
      </c>
      <c r="M19" t="s">
        <v>200</v>
      </c>
      <c r="N19" s="14">
        <v>4.6136986301369864</v>
      </c>
      <c r="O19" t="s">
        <v>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687-B8C4-4169-81BE-8998EF65CD3C}">
  <dimension ref="B2:G17"/>
  <sheetViews>
    <sheetView tabSelected="1" workbookViewId="0">
      <selection activeCell="C13" sqref="C13"/>
    </sheetView>
  </sheetViews>
  <sheetFormatPr defaultRowHeight="15" x14ac:dyDescent="0.25"/>
  <cols>
    <col min="2" max="2" width="13.7109375" bestFit="1" customWidth="1"/>
    <col min="3" max="3" width="17.28515625" customWidth="1"/>
    <col min="7" max="7" width="2" hidden="1" customWidth="1"/>
  </cols>
  <sheetData>
    <row r="2" spans="2:7" x14ac:dyDescent="0.25">
      <c r="B2" s="23" t="s">
        <v>959</v>
      </c>
      <c r="C2" s="23"/>
    </row>
    <row r="5" spans="2:7" x14ac:dyDescent="0.25">
      <c r="B5" t="s">
        <v>960</v>
      </c>
      <c r="C5" s="6" t="s">
        <v>297</v>
      </c>
    </row>
    <row r="6" spans="2:7" x14ac:dyDescent="0.25">
      <c r="B6" t="s">
        <v>961</v>
      </c>
      <c r="C6" t="str">
        <f>IFERROR(VLOOKUP(C$5,Staff[],G$6,FALSE),"Not found")</f>
        <v>SHAYLYN</v>
      </c>
      <c r="E6" s="22"/>
      <c r="G6" s="22">
        <v>2</v>
      </c>
    </row>
    <row r="7" spans="2:7" x14ac:dyDescent="0.25">
      <c r="B7" t="s">
        <v>962</v>
      </c>
      <c r="C7" t="str">
        <f>IFERROR(VLOOKUP(C$5,Staff[],G$7,FALSE),"Not found")</f>
        <v>Ransbury</v>
      </c>
      <c r="E7" s="22"/>
      <c r="G7" s="22">
        <v>3</v>
      </c>
    </row>
    <row r="8" spans="2:7" x14ac:dyDescent="0.25">
      <c r="B8" t="s">
        <v>963</v>
      </c>
      <c r="C8" t="str">
        <f>IFERROR(VLOOKUP(C$5,Staff[],G$8,FALSE),"Not found")</f>
        <v>Support</v>
      </c>
      <c r="E8" s="22"/>
      <c r="G8" s="22">
        <v>5</v>
      </c>
    </row>
    <row r="9" spans="2:7" x14ac:dyDescent="0.25">
      <c r="B9" t="s">
        <v>964</v>
      </c>
      <c r="C9">
        <f>IFERROR(VLOOKUP(C$5,Staff[],G$9,FALSE),"Not found")</f>
        <v>100371.31</v>
      </c>
      <c r="E9" s="22"/>
      <c r="G9" s="22">
        <v>6</v>
      </c>
    </row>
    <row r="10" spans="2:7" x14ac:dyDescent="0.25">
      <c r="B10" t="s">
        <v>965</v>
      </c>
      <c r="C10" t="str">
        <f>IFERROR(VLOOKUP(C$5,Staff[],G$10,FALSE),"Not found")</f>
        <v>Female</v>
      </c>
      <c r="G10" s="22">
        <v>4</v>
      </c>
    </row>
    <row r="13" spans="2:7" x14ac:dyDescent="0.25">
      <c r="B13" t="s">
        <v>966</v>
      </c>
      <c r="C13" s="6" t="s">
        <v>968</v>
      </c>
    </row>
    <row r="14" spans="2:7" x14ac:dyDescent="0.25">
      <c r="C14" t="e">
        <f>MATCH(C13,staff4[],0)</f>
        <v>#N/A</v>
      </c>
    </row>
    <row r="15" spans="2:7" x14ac:dyDescent="0.25">
      <c r="B15" t="s">
        <v>960</v>
      </c>
    </row>
    <row r="16" spans="2:7" x14ac:dyDescent="0.25">
      <c r="B16" t="s">
        <v>957</v>
      </c>
    </row>
    <row r="17" spans="2:2" x14ac:dyDescent="0.25">
      <c r="B17" t="s">
        <v>967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761C7B-FB77-4866-9DA6-CEAFA9EED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Staff</vt:lpstr>
      <vt:lpstr>medals</vt:lpstr>
      <vt:lpstr>power query</vt:lpstr>
      <vt:lpstr>Sumifs and countifs</vt:lpstr>
      <vt:lpstr>Filter</vt:lpstr>
      <vt:lpstr>min,max,large,sort</vt:lpstr>
      <vt:lpstr>list of departments</vt:lpstr>
      <vt:lpstr>dataset</vt:lpstr>
      <vt:lpstr>Lookup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Yashwanth M</cp:lastModifiedBy>
  <dcterms:created xsi:type="dcterms:W3CDTF">2015-06-05T18:17:20Z</dcterms:created>
  <dcterms:modified xsi:type="dcterms:W3CDTF">2026-02-14T09:13:11Z</dcterms:modified>
</cp:coreProperties>
</file>